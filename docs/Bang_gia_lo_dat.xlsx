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gia" sheetId="1" state="visible" r:id="rId1"/>
  </sheets>
  <definedNames>
    <definedName name="_xlnm._FilterDatabase" localSheetId="0" hidden="1">'Bang gia'!$A$1:$L$98</definedName>
    <definedName name="_xlnm.Print_Titles" localSheetId="0">'Bang gia'!$1:$1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right" vertical="center"/>
    </xf>
    <xf numFmtId="4" fontId="1" fillId="3" borderId="1" applyAlignment="1" pivotButton="0" quotePrefix="0" xfId="0">
      <alignment horizontal="right" vertical="center"/>
    </xf>
    <xf numFmtId="3" fontId="1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28" customWidth="1" min="4" max="4"/>
    <col width="18" customWidth="1" min="5" max="5"/>
    <col width="11" customWidth="1" min="6" max="6"/>
    <col width="13" customWidth="1" min="7" max="7"/>
    <col width="16" customWidth="1" min="8" max="8"/>
    <col width="20" customWidth="1" min="9" max="9"/>
    <col width="15" customWidth="1" min="10" max="10"/>
    <col width="20" customWidth="1" min="11" max="11"/>
    <col width="22" customWidth="1" min="12" max="12"/>
  </cols>
  <sheetData>
    <row r="1" ht="80" customHeight="1">
      <c r="A1" s="1" t="inlineStr">
        <is>
          <t>STT</t>
        </is>
      </c>
      <c r="B1" s="1" t="inlineStr">
        <is>
          <t>Tên lô đất</t>
        </is>
      </c>
      <c r="C1" s="1" t="n"/>
      <c r="D1" s="1" t="inlineStr">
        <is>
          <t>Đường</t>
        </is>
      </c>
      <c r="E1" s="1" t="inlineStr">
        <is>
          <t>Ghi chú</t>
        </is>
      </c>
      <c r="F1" s="1" t="inlineStr">
        <is>
          <t>Diện tích (m2)</t>
        </is>
      </c>
      <c r="G1" s="1" t="inlineStr">
        <is>
          <t>Tổng diện tích sàn xây dựng</t>
        </is>
      </c>
      <c r="H1" s="1" t="inlineStr">
        <is>
          <t>Đơn giá đất bao gồm thuế GTGT (VND/m2)</t>
        </is>
      </c>
      <c r="I1" s="1" t="inlineStr">
        <is>
          <t>Giá trị quyền sử dụng đất bao gồm thuế GTGT (VND)</t>
        </is>
      </c>
      <c r="J1" s="1" t="inlineStr">
        <is>
          <t>Đơn giá xây dựng bao gồm thuế GTGT (VND/m2)</t>
        </is>
      </c>
      <c r="K1" s="1" t="inlineStr">
        <is>
          <t>Giá trị CTXD trên đất bao gồm thuế GTGT (VND)</t>
        </is>
      </c>
      <c r="L1" s="1" t="inlineStr">
        <is>
          <t>Tổng giá trị tài sản bao gồm thuế GTGT (VND)</t>
        </is>
      </c>
    </row>
    <row r="2">
      <c r="A2" s="2" t="inlineStr">
        <is>
          <t>CT1</t>
        </is>
      </c>
      <c r="B2" s="2" t="n"/>
      <c r="C2" s="2" t="n"/>
      <c r="D2" s="2" t="n"/>
      <c r="E2" s="2" t="n"/>
      <c r="F2" s="3" t="n"/>
      <c r="G2" s="4">
        <f>SUM(G3:G22)</f>
        <v/>
      </c>
      <c r="H2" s="5" t="n"/>
      <c r="I2" s="5">
        <f>SUM(I3:I22)</f>
        <v/>
      </c>
      <c r="J2" s="5" t="n"/>
      <c r="K2" s="5">
        <f>ROUND(SUMPRODUCT(G3:G22,J3:J22),0)</f>
        <v/>
      </c>
      <c r="L2" s="5">
        <f>I2+K2</f>
        <v/>
      </c>
    </row>
    <row r="3">
      <c r="A3" s="6" t="n">
        <v>1</v>
      </c>
      <c r="B3" s="6" t="inlineStr">
        <is>
          <t>LK24</t>
        </is>
      </c>
      <c r="C3" s="6" t="inlineStr">
        <is>
          <t>LK24-1</t>
        </is>
      </c>
      <c r="D3" s="6" t="inlineStr">
        <is>
          <t>Đường 36m - Đường 17m</t>
        </is>
      </c>
      <c r="E3" s="6" t="inlineStr">
        <is>
          <t>Hố ga</t>
        </is>
      </c>
      <c r="F3" s="7" t="n">
        <v>197</v>
      </c>
      <c r="G3" s="8" t="n">
        <v>500.1</v>
      </c>
      <c r="H3" s="9" t="n">
        <v>39480000</v>
      </c>
      <c r="I3" s="9">
        <f>ROUND(F3*H3,0)</f>
        <v/>
      </c>
      <c r="J3" s="9" t="n">
        <v>4342260</v>
      </c>
      <c r="K3" s="9">
        <f>ROUND(G3*J3,0)</f>
        <v/>
      </c>
      <c r="L3" s="9">
        <f>I3+K3</f>
        <v/>
      </c>
    </row>
    <row r="4">
      <c r="A4" s="6" t="n">
        <v>2</v>
      </c>
      <c r="B4" s="6" t="n"/>
      <c r="C4" s="6" t="inlineStr">
        <is>
          <t>LK24-2</t>
        </is>
      </c>
      <c r="D4" s="6" t="inlineStr">
        <is>
          <t>Đường 36m</t>
        </is>
      </c>
      <c r="E4" s="6" t="n"/>
      <c r="F4" s="7" t="n">
        <v>130</v>
      </c>
      <c r="G4" s="8" t="n">
        <v>400.2</v>
      </c>
      <c r="H4" s="9" t="n">
        <v>37600000</v>
      </c>
      <c r="I4" s="9">
        <f>ROUND(F4*H4,0)</f>
        <v/>
      </c>
      <c r="J4" s="9" t="n">
        <v>4342260</v>
      </c>
      <c r="K4" s="9">
        <f>ROUND(G4*J4,0)</f>
        <v/>
      </c>
      <c r="L4" s="9">
        <f>I4+K4</f>
        <v/>
      </c>
    </row>
    <row r="5">
      <c r="A5" s="6" t="n">
        <v>3</v>
      </c>
      <c r="B5" s="6" t="n"/>
      <c r="C5" s="6" t="inlineStr">
        <is>
          <t>LK24-3</t>
        </is>
      </c>
      <c r="D5" s="6" t="inlineStr">
        <is>
          <t>Đường 36m</t>
        </is>
      </c>
      <c r="E5" s="6" t="n"/>
      <c r="F5" s="7" t="n">
        <v>130</v>
      </c>
      <c r="G5" s="8" t="n">
        <v>400.2</v>
      </c>
      <c r="H5" s="9" t="n">
        <v>37600000</v>
      </c>
      <c r="I5" s="9">
        <f>ROUND(F5*H5,0)</f>
        <v/>
      </c>
      <c r="J5" s="9" t="n">
        <v>4342260</v>
      </c>
      <c r="K5" s="9">
        <f>ROUND(G5*J5,0)</f>
        <v/>
      </c>
      <c r="L5" s="9">
        <f>I5+K5</f>
        <v/>
      </c>
    </row>
    <row r="6">
      <c r="A6" s="6" t="n">
        <v>4</v>
      </c>
      <c r="B6" s="6" t="n"/>
      <c r="C6" s="6" t="inlineStr">
        <is>
          <t>LK24-4</t>
        </is>
      </c>
      <c r="D6" s="6" t="inlineStr">
        <is>
          <t>Đường 36m</t>
        </is>
      </c>
      <c r="E6" s="6" t="n"/>
      <c r="F6" s="7" t="n">
        <v>130</v>
      </c>
      <c r="G6" s="8" t="n">
        <v>400.2</v>
      </c>
      <c r="H6" s="9" t="n">
        <v>37600000</v>
      </c>
      <c r="I6" s="9">
        <f>ROUND(F6*H6,0)</f>
        <v/>
      </c>
      <c r="J6" s="9" t="n">
        <v>4342260</v>
      </c>
      <c r="K6" s="9">
        <f>ROUND(G6*J6,0)</f>
        <v/>
      </c>
      <c r="L6" s="9">
        <f>I6+K6</f>
        <v/>
      </c>
    </row>
    <row r="7">
      <c r="A7" s="6" t="n">
        <v>5</v>
      </c>
      <c r="B7" s="6" t="n"/>
      <c r="C7" s="6" t="inlineStr">
        <is>
          <t>LK24-5</t>
        </is>
      </c>
      <c r="D7" s="6" t="inlineStr">
        <is>
          <t>Đường 36m</t>
        </is>
      </c>
      <c r="E7" s="6" t="inlineStr">
        <is>
          <t>Hố ga</t>
        </is>
      </c>
      <c r="F7" s="7" t="n">
        <v>130</v>
      </c>
      <c r="G7" s="8" t="n">
        <v>400.2</v>
      </c>
      <c r="H7" s="9" t="n">
        <v>37224000</v>
      </c>
      <c r="I7" s="9">
        <f>ROUND(F7*H7,0)</f>
        <v/>
      </c>
      <c r="J7" s="9" t="n">
        <v>4342260</v>
      </c>
      <c r="K7" s="9">
        <f>ROUND(G7*J7,0)</f>
        <v/>
      </c>
      <c r="L7" s="9">
        <f>I7+K7</f>
        <v/>
      </c>
    </row>
    <row r="8">
      <c r="A8" s="6" t="n">
        <v>6</v>
      </c>
      <c r="B8" s="6" t="n"/>
      <c r="C8" s="6" t="inlineStr">
        <is>
          <t>LK24-6</t>
        </is>
      </c>
      <c r="D8" s="6" t="inlineStr">
        <is>
          <t>Đường 36m - Đường 10,5m</t>
        </is>
      </c>
      <c r="E8" s="6" t="n"/>
      <c r="F8" s="7" t="n">
        <v>259</v>
      </c>
      <c r="G8" s="8" t="n">
        <v>837.5</v>
      </c>
      <c r="H8" s="9" t="n">
        <v>37600000</v>
      </c>
      <c r="I8" s="9">
        <f>ROUND(F8*H8,0)</f>
        <v/>
      </c>
      <c r="J8" s="9" t="n">
        <v>4216490</v>
      </c>
      <c r="K8" s="9">
        <f>ROUND(G8*J8,0)</f>
        <v/>
      </c>
      <c r="L8" s="9">
        <f>I8+K8</f>
        <v/>
      </c>
    </row>
    <row r="9">
      <c r="A9" s="6" t="n">
        <v>7</v>
      </c>
      <c r="B9" s="6" t="inlineStr">
        <is>
          <t>LK25</t>
        </is>
      </c>
      <c r="C9" s="6" t="inlineStr">
        <is>
          <t>LK25-1</t>
        </is>
      </c>
      <c r="D9" s="6" t="inlineStr">
        <is>
          <t>Đường 36m - Đường 10,5m</t>
        </is>
      </c>
      <c r="E9" s="6" t="inlineStr">
        <is>
          <t>Hố ga</t>
        </is>
      </c>
      <c r="F9" s="7" t="n">
        <v>259.3</v>
      </c>
      <c r="G9" s="8" t="n">
        <v>837.5</v>
      </c>
      <c r="H9" s="9" t="n">
        <v>36848000</v>
      </c>
      <c r="I9" s="9">
        <f>ROUND(F9*H9,0)</f>
        <v/>
      </c>
      <c r="J9" s="9" t="n">
        <v>4216490</v>
      </c>
      <c r="K9" s="9">
        <f>ROUND(G9*J9,0)</f>
        <v/>
      </c>
      <c r="L9" s="9">
        <f>I9+K9</f>
        <v/>
      </c>
    </row>
    <row r="10">
      <c r="A10" s="6" t="n">
        <v>8</v>
      </c>
      <c r="B10" s="6" t="n"/>
      <c r="C10" s="6" t="inlineStr">
        <is>
          <t>LK25-2</t>
        </is>
      </c>
      <c r="D10" s="6" t="inlineStr">
        <is>
          <t>Đường 36m</t>
        </is>
      </c>
      <c r="E10" s="6" t="n"/>
      <c r="F10" s="7" t="n">
        <v>130</v>
      </c>
      <c r="G10" s="8" t="n">
        <v>400.2</v>
      </c>
      <c r="H10" s="9" t="n">
        <v>37600000</v>
      </c>
      <c r="I10" s="9">
        <f>ROUND(F10*H10,0)</f>
        <v/>
      </c>
      <c r="J10" s="9" t="n">
        <v>4342260</v>
      </c>
      <c r="K10" s="9">
        <f>ROUND(G10*J10,0)</f>
        <v/>
      </c>
      <c r="L10" s="9">
        <f>I10+K10</f>
        <v/>
      </c>
    </row>
    <row r="11">
      <c r="A11" s="6" t="n">
        <v>9</v>
      </c>
      <c r="B11" s="6" t="n"/>
      <c r="C11" s="6" t="inlineStr">
        <is>
          <t>LK25-3</t>
        </is>
      </c>
      <c r="D11" s="6" t="inlineStr">
        <is>
          <t>Đường 36m</t>
        </is>
      </c>
      <c r="E11" s="6" t="n"/>
      <c r="F11" s="7" t="n">
        <v>130</v>
      </c>
      <c r="G11" s="8" t="n">
        <v>400.2</v>
      </c>
      <c r="H11" s="9" t="n">
        <v>37600000</v>
      </c>
      <c r="I11" s="9">
        <f>ROUND(F11*H11,0)</f>
        <v/>
      </c>
      <c r="J11" s="9" t="n">
        <v>4342260</v>
      </c>
      <c r="K11" s="9">
        <f>ROUND(G11*J11,0)</f>
        <v/>
      </c>
      <c r="L11" s="9">
        <f>I11+K11</f>
        <v/>
      </c>
    </row>
    <row r="12">
      <c r="A12" s="6" t="n">
        <v>10</v>
      </c>
      <c r="B12" s="6" t="n"/>
      <c r="C12" s="6" t="inlineStr">
        <is>
          <t>LK25-4</t>
        </is>
      </c>
      <c r="D12" s="6" t="inlineStr">
        <is>
          <t>Đường 36m</t>
        </is>
      </c>
      <c r="E12" s="6" t="inlineStr">
        <is>
          <t>Hố ga</t>
        </is>
      </c>
      <c r="F12" s="7" t="n">
        <v>130</v>
      </c>
      <c r="G12" s="8" t="n">
        <v>400.2</v>
      </c>
      <c r="H12" s="9" t="n">
        <v>37224000</v>
      </c>
      <c r="I12" s="9">
        <f>ROUND(F12*H12,0)</f>
        <v/>
      </c>
      <c r="J12" s="9" t="n">
        <v>4342260</v>
      </c>
      <c r="K12" s="9">
        <f>ROUND(G12*J12,0)</f>
        <v/>
      </c>
      <c r="L12" s="9">
        <f>I12+K12</f>
        <v/>
      </c>
    </row>
    <row r="13">
      <c r="A13" s="6" t="n">
        <v>11</v>
      </c>
      <c r="B13" s="6" t="n"/>
      <c r="C13" s="6" t="inlineStr">
        <is>
          <t>LK25-5</t>
        </is>
      </c>
      <c r="D13" s="6" t="inlineStr">
        <is>
          <t>Đường 36m</t>
        </is>
      </c>
      <c r="E13" s="6" t="inlineStr">
        <is>
          <t>Hố ga</t>
        </is>
      </c>
      <c r="F13" s="7" t="n">
        <v>130</v>
      </c>
      <c r="G13" s="8" t="n">
        <v>400.2</v>
      </c>
      <c r="H13" s="9" t="n">
        <v>37224000</v>
      </c>
      <c r="I13" s="9">
        <f>ROUND(F13*H13,0)</f>
        <v/>
      </c>
      <c r="J13" s="9" t="n">
        <v>4342260</v>
      </c>
      <c r="K13" s="9">
        <f>ROUND(G13*J13,0)</f>
        <v/>
      </c>
      <c r="L13" s="9">
        <f>I13+K13</f>
        <v/>
      </c>
    </row>
    <row r="14">
      <c r="A14" s="6" t="n">
        <v>12</v>
      </c>
      <c r="B14" s="6" t="n"/>
      <c r="C14" s="6" t="inlineStr">
        <is>
          <t>LK25-6</t>
        </is>
      </c>
      <c r="D14" s="6" t="inlineStr">
        <is>
          <t>Đường 36m - Đường 11,5m</t>
        </is>
      </c>
      <c r="E14" s="6" t="inlineStr">
        <is>
          <t>Hố ga</t>
        </is>
      </c>
      <c r="F14" s="7" t="n">
        <v>193.7</v>
      </c>
      <c r="G14" s="8" t="n">
        <v>500.1</v>
      </c>
      <c r="H14" s="9" t="n">
        <v>39856000</v>
      </c>
      <c r="I14" s="9">
        <f>ROUND(F14*H14,0)</f>
        <v/>
      </c>
      <c r="J14" s="9" t="n">
        <v>4342260</v>
      </c>
      <c r="K14" s="9">
        <f>ROUND(G14*J14,0)</f>
        <v/>
      </c>
      <c r="L14" s="9">
        <f>I14+K14</f>
        <v/>
      </c>
    </row>
    <row r="15">
      <c r="A15" s="6" t="n">
        <v>13</v>
      </c>
      <c r="B15" s="6" t="inlineStr">
        <is>
          <t>BT9</t>
        </is>
      </c>
      <c r="C15" s="6" t="inlineStr">
        <is>
          <t>BT9-1</t>
        </is>
      </c>
      <c r="D15" s="6" t="inlineStr">
        <is>
          <t>Đường 17m - Đường 11,5m</t>
        </is>
      </c>
      <c r="E15" s="6" t="inlineStr">
        <is>
          <t>Hố ga</t>
        </is>
      </c>
      <c r="F15" s="7" t="n">
        <v>238.7</v>
      </c>
      <c r="G15" s="8" t="n">
        <v>416.5</v>
      </c>
      <c r="H15" s="9" t="n">
        <v>36668000</v>
      </c>
      <c r="I15" s="9">
        <f>ROUND(F15*H15,0)</f>
        <v/>
      </c>
      <c r="J15" s="9" t="n">
        <v>5985260</v>
      </c>
      <c r="K15" s="9">
        <f>ROUND(G15*J15,0)</f>
        <v/>
      </c>
      <c r="L15" s="9">
        <f>I15+K15</f>
        <v/>
      </c>
    </row>
    <row r="16">
      <c r="A16" s="6" t="n">
        <v>14</v>
      </c>
      <c r="B16" s="6" t="n"/>
      <c r="C16" s="6" t="inlineStr">
        <is>
          <t>BT9-2</t>
        </is>
      </c>
      <c r="D16" s="6" t="inlineStr">
        <is>
          <t>Đường 36,7m - Đường 11,5m</t>
        </is>
      </c>
      <c r="E16" s="6" t="inlineStr">
        <is>
          <t>Hố ga</t>
        </is>
      </c>
      <c r="F16" s="7" t="n">
        <v>238.7</v>
      </c>
      <c r="G16" s="8" t="n">
        <v>416.5</v>
      </c>
      <c r="H16" s="9" t="n">
        <v>35244000</v>
      </c>
      <c r="I16" s="9">
        <f>ROUND(F16*H16,0)</f>
        <v/>
      </c>
      <c r="J16" s="9" t="n">
        <v>5985260</v>
      </c>
      <c r="K16" s="9">
        <f>ROUND(G16*J16,0)</f>
        <v/>
      </c>
      <c r="L16" s="9">
        <f>I16+K16</f>
        <v/>
      </c>
    </row>
    <row r="17">
      <c r="A17" s="6" t="n">
        <v>15</v>
      </c>
      <c r="B17" s="6" t="n"/>
      <c r="C17" s="6" t="inlineStr">
        <is>
          <t>BT9-3</t>
        </is>
      </c>
      <c r="D17" s="6" t="inlineStr">
        <is>
          <t>Đường 17m - Đường 4m</t>
        </is>
      </c>
      <c r="E17" s="6" t="n"/>
      <c r="F17" s="7" t="n">
        <v>253.1</v>
      </c>
      <c r="G17" s="8" t="n">
        <v>416.5</v>
      </c>
      <c r="H17" s="9" t="n">
        <v>35600000</v>
      </c>
      <c r="I17" s="9">
        <f>ROUND(F17*H17,0)</f>
        <v/>
      </c>
      <c r="J17" s="9" t="n">
        <v>5985260</v>
      </c>
      <c r="K17" s="9">
        <f>ROUND(G17*J17,0)</f>
        <v/>
      </c>
      <c r="L17" s="9">
        <f>I17+K17</f>
        <v/>
      </c>
    </row>
    <row r="18">
      <c r="A18" s="6" t="n">
        <v>16</v>
      </c>
      <c r="B18" s="6" t="n"/>
      <c r="C18" s="6" t="inlineStr">
        <is>
          <t>BT9-4</t>
        </is>
      </c>
      <c r="D18" s="6" t="inlineStr">
        <is>
          <t>Đường 36,7m - Đường 4m</t>
        </is>
      </c>
      <c r="E18" s="6" t="n"/>
      <c r="F18" s="7" t="n">
        <v>253.5</v>
      </c>
      <c r="G18" s="8" t="n">
        <v>416.5</v>
      </c>
      <c r="H18" s="9" t="n">
        <v>34176000</v>
      </c>
      <c r="I18" s="9">
        <f>ROUND(F18*H18,0)</f>
        <v/>
      </c>
      <c r="J18" s="9" t="n">
        <v>5985260</v>
      </c>
      <c r="K18" s="9">
        <f>ROUND(G18*J18,0)</f>
        <v/>
      </c>
      <c r="L18" s="9">
        <f>I18+K18</f>
        <v/>
      </c>
    </row>
    <row r="19">
      <c r="A19" s="6" t="n">
        <v>17</v>
      </c>
      <c r="B19" s="6" t="inlineStr">
        <is>
          <t>BT10</t>
        </is>
      </c>
      <c r="C19" s="6" t="inlineStr">
        <is>
          <t>BT10-1</t>
        </is>
      </c>
      <c r="D19" s="6" t="inlineStr">
        <is>
          <t>Đường 11,5m - Đường 36,7m</t>
        </is>
      </c>
      <c r="E19" s="6" t="inlineStr">
        <is>
          <t>Hố ga</t>
        </is>
      </c>
      <c r="F19" s="7" t="n">
        <v>238.6</v>
      </c>
      <c r="G19" s="8" t="n">
        <v>416.5</v>
      </c>
      <c r="H19" s="9" t="n">
        <v>35244000</v>
      </c>
      <c r="I19" s="9">
        <f>ROUND(F19*H19,0)</f>
        <v/>
      </c>
      <c r="J19" s="9" t="n">
        <v>5985260</v>
      </c>
      <c r="K19" s="9">
        <f>ROUND(G19*J19,0)</f>
        <v/>
      </c>
      <c r="L19" s="9">
        <f>I19+K19</f>
        <v/>
      </c>
    </row>
    <row r="20">
      <c r="A20" s="6" t="n">
        <v>18</v>
      </c>
      <c r="B20" s="6" t="n"/>
      <c r="C20" s="6" t="inlineStr">
        <is>
          <t>BT10-2</t>
        </is>
      </c>
      <c r="D20" s="6" t="inlineStr">
        <is>
          <t>Đường 11,5m - Đường 11,5m</t>
        </is>
      </c>
      <c r="E20" s="6" t="inlineStr">
        <is>
          <t>Hố ga</t>
        </is>
      </c>
      <c r="F20" s="7" t="n">
        <v>238.6</v>
      </c>
      <c r="G20" s="8" t="n">
        <v>416.5</v>
      </c>
      <c r="H20" s="9" t="n">
        <v>35956000</v>
      </c>
      <c r="I20" s="9">
        <f>ROUND(F20*H20,0)</f>
        <v/>
      </c>
      <c r="J20" s="9" t="n">
        <v>5985260</v>
      </c>
      <c r="K20" s="9">
        <f>ROUND(G20*J20,0)</f>
        <v/>
      </c>
      <c r="L20" s="9">
        <f>I20+K20</f>
        <v/>
      </c>
    </row>
    <row r="21">
      <c r="A21" s="6" t="n">
        <v>19</v>
      </c>
      <c r="B21" s="6" t="n"/>
      <c r="C21" s="6" t="inlineStr">
        <is>
          <t>BT10-3</t>
        </is>
      </c>
      <c r="D21" s="6" t="inlineStr">
        <is>
          <t>Đường 36,7m - Đường 4m</t>
        </is>
      </c>
      <c r="E21" s="6" t="n"/>
      <c r="F21" s="7" t="n">
        <v>254.6</v>
      </c>
      <c r="G21" s="8" t="n">
        <v>416.5</v>
      </c>
      <c r="H21" s="9" t="n">
        <v>34176000</v>
      </c>
      <c r="I21" s="9">
        <f>ROUND(F21*H21,0)</f>
        <v/>
      </c>
      <c r="J21" s="9" t="n">
        <v>5985260</v>
      </c>
      <c r="K21" s="9">
        <f>ROUND(G21*J21,0)</f>
        <v/>
      </c>
      <c r="L21" s="9">
        <f>I21+K21</f>
        <v/>
      </c>
    </row>
    <row r="22">
      <c r="A22" s="6" t="n">
        <v>20</v>
      </c>
      <c r="B22" s="6" t="n"/>
      <c r="C22" s="6" t="inlineStr">
        <is>
          <t>BT10-4</t>
        </is>
      </c>
      <c r="D22" s="6" t="inlineStr">
        <is>
          <t>Đường 11,5m - Đường 4m</t>
        </is>
      </c>
      <c r="E22" s="6" t="inlineStr">
        <is>
          <t>Tủ điện</t>
        </is>
      </c>
      <c r="F22" s="7" t="n">
        <v>255.2</v>
      </c>
      <c r="G22" s="8" t="n">
        <v>416.5</v>
      </c>
      <c r="H22" s="9" t="n">
        <v>34176000</v>
      </c>
      <c r="I22" s="9">
        <f>ROUND(F22*H22,0)</f>
        <v/>
      </c>
      <c r="J22" s="9" t="n">
        <v>5985260</v>
      </c>
      <c r="K22" s="9">
        <f>ROUND(G22*J22,0)</f>
        <v/>
      </c>
      <c r="L22" s="9">
        <f>I22+K22</f>
        <v/>
      </c>
    </row>
    <row r="23">
      <c r="A23" s="2" t="inlineStr">
        <is>
          <t>CT2</t>
        </is>
      </c>
      <c r="B23" s="2" t="n"/>
      <c r="C23" s="2" t="n"/>
      <c r="D23" s="2" t="n"/>
      <c r="E23" s="2" t="n"/>
      <c r="F23" s="3" t="n"/>
      <c r="G23" s="4">
        <f>SUM(G24:G53)</f>
        <v/>
      </c>
      <c r="H23" s="5" t="n"/>
      <c r="I23" s="5">
        <f>SUM(I24:I53)</f>
        <v/>
      </c>
      <c r="J23" s="5" t="n"/>
      <c r="K23" s="5">
        <f>ROUND(SUMPRODUCT(G24:G53,J24:J53),0)</f>
        <v/>
      </c>
      <c r="L23" s="5">
        <f>I23+K23</f>
        <v/>
      </c>
    </row>
    <row r="24">
      <c r="A24" s="6" t="n">
        <v>21</v>
      </c>
      <c r="B24" s="6" t="inlineStr">
        <is>
          <t>LK26</t>
        </is>
      </c>
      <c r="C24" s="6" t="inlineStr">
        <is>
          <t>LK26-1</t>
        </is>
      </c>
      <c r="D24" s="6" t="inlineStr">
        <is>
          <t>Đường 36m - Đường 11,5m</t>
        </is>
      </c>
      <c r="E24" s="6" t="inlineStr">
        <is>
          <t>Hố ga</t>
        </is>
      </c>
      <c r="F24" s="7" t="n">
        <v>187</v>
      </c>
      <c r="G24" s="8" t="n">
        <v>500.1</v>
      </c>
      <c r="H24" s="9" t="n">
        <v>38728000</v>
      </c>
      <c r="I24" s="9">
        <f>ROUND(F24*H24,0)</f>
        <v/>
      </c>
      <c r="J24" s="9" t="n">
        <v>4342260</v>
      </c>
      <c r="K24" s="9">
        <f>ROUND(G24*J24,0)</f>
        <v/>
      </c>
      <c r="L24" s="9">
        <f>I24+K24</f>
        <v/>
      </c>
    </row>
    <row r="25">
      <c r="A25" s="6" t="n">
        <v>22</v>
      </c>
      <c r="B25" s="6" t="n"/>
      <c r="C25" s="6" t="inlineStr">
        <is>
          <t>LK26-2</t>
        </is>
      </c>
      <c r="D25" s="6" t="inlineStr">
        <is>
          <t>Đường 36m</t>
        </is>
      </c>
      <c r="E25" s="6" t="n"/>
      <c r="F25" s="7" t="n">
        <v>130</v>
      </c>
      <c r="G25" s="8" t="n">
        <v>400.2</v>
      </c>
      <c r="H25" s="9" t="n">
        <v>37600000</v>
      </c>
      <c r="I25" s="9">
        <f>ROUND(F25*H25,0)</f>
        <v/>
      </c>
      <c r="J25" s="9" t="n">
        <v>4342260</v>
      </c>
      <c r="K25" s="9">
        <f>ROUND(G25*J25,0)</f>
        <v/>
      </c>
      <c r="L25" s="9">
        <f>I25+K25</f>
        <v/>
      </c>
    </row>
    <row r="26">
      <c r="A26" s="6" t="n">
        <v>23</v>
      </c>
      <c r="B26" s="6" t="n"/>
      <c r="C26" s="6" t="inlineStr">
        <is>
          <t>LK26-3</t>
        </is>
      </c>
      <c r="D26" s="6" t="inlineStr">
        <is>
          <t>Đường 36m</t>
        </is>
      </c>
      <c r="E26" s="6" t="n"/>
      <c r="F26" s="7" t="n">
        <v>130</v>
      </c>
      <c r="G26" s="8" t="n">
        <v>400.2</v>
      </c>
      <c r="H26" s="9" t="n">
        <v>37600000</v>
      </c>
      <c r="I26" s="9">
        <f>ROUND(F26*H26,0)</f>
        <v/>
      </c>
      <c r="J26" s="9" t="n">
        <v>4342260</v>
      </c>
      <c r="K26" s="9">
        <f>ROUND(G26*J26,0)</f>
        <v/>
      </c>
      <c r="L26" s="9">
        <f>I26+K26</f>
        <v/>
      </c>
    </row>
    <row r="27">
      <c r="A27" s="6" t="n">
        <v>24</v>
      </c>
      <c r="B27" s="6" t="n"/>
      <c r="C27" s="6" t="inlineStr">
        <is>
          <t>LK26-4</t>
        </is>
      </c>
      <c r="D27" s="6" t="inlineStr">
        <is>
          <t>Đường 36m</t>
        </is>
      </c>
      <c r="E27" s="6" t="n"/>
      <c r="F27" s="7" t="n">
        <v>130</v>
      </c>
      <c r="G27" s="8" t="n">
        <v>400.2</v>
      </c>
      <c r="H27" s="9" t="n">
        <v>37600000</v>
      </c>
      <c r="I27" s="9">
        <f>ROUND(F27*H27,0)</f>
        <v/>
      </c>
      <c r="J27" s="9" t="n">
        <v>4342260</v>
      </c>
      <c r="K27" s="9">
        <f>ROUND(G27*J27,0)</f>
        <v/>
      </c>
      <c r="L27" s="9">
        <f>I27+K27</f>
        <v/>
      </c>
    </row>
    <row r="28">
      <c r="A28" s="6" t="n">
        <v>25</v>
      </c>
      <c r="B28" s="6" t="n"/>
      <c r="C28" s="6" t="inlineStr">
        <is>
          <t>LK26-5</t>
        </is>
      </c>
      <c r="D28" s="6" t="inlineStr">
        <is>
          <t>Đường 36m</t>
        </is>
      </c>
      <c r="E28" s="6" t="n"/>
      <c r="F28" s="7" t="n">
        <v>130</v>
      </c>
      <c r="G28" s="8" t="n">
        <v>400.2</v>
      </c>
      <c r="H28" s="9" t="n">
        <v>37600000</v>
      </c>
      <c r="I28" s="9">
        <f>ROUND(F28*H28,0)</f>
        <v/>
      </c>
      <c r="J28" s="9" t="n">
        <v>4342260</v>
      </c>
      <c r="K28" s="9">
        <f>ROUND(G28*J28,0)</f>
        <v/>
      </c>
      <c r="L28" s="9">
        <f>I28+K28</f>
        <v/>
      </c>
    </row>
    <row r="29">
      <c r="A29" s="6" t="n">
        <v>26</v>
      </c>
      <c r="B29" s="6" t="n"/>
      <c r="C29" s="6" t="inlineStr">
        <is>
          <t>LK26-6</t>
        </is>
      </c>
      <c r="D29" s="6" t="inlineStr">
        <is>
          <t>Đường 36m</t>
        </is>
      </c>
      <c r="E29" s="6" t="n"/>
      <c r="F29" s="7" t="n">
        <v>130</v>
      </c>
      <c r="G29" s="8" t="n">
        <v>400.2</v>
      </c>
      <c r="H29" s="9" t="n">
        <v>37600000</v>
      </c>
      <c r="I29" s="9">
        <f>ROUND(F29*H29,0)</f>
        <v/>
      </c>
      <c r="J29" s="9" t="n">
        <v>4342260</v>
      </c>
      <c r="K29" s="9">
        <f>ROUND(G29*J29,0)</f>
        <v/>
      </c>
      <c r="L29" s="9">
        <f>I29+K29</f>
        <v/>
      </c>
    </row>
    <row r="30">
      <c r="A30" s="6" t="n">
        <v>27</v>
      </c>
      <c r="B30" s="6" t="n"/>
      <c r="C30" s="6" t="inlineStr">
        <is>
          <t>LK26-7</t>
        </is>
      </c>
      <c r="D30" s="6" t="inlineStr">
        <is>
          <t>Đường 36m</t>
        </is>
      </c>
      <c r="E30" s="6" t="n"/>
      <c r="F30" s="7" t="n">
        <v>129.8</v>
      </c>
      <c r="G30" s="8" t="n">
        <v>400.2</v>
      </c>
      <c r="H30" s="9" t="n">
        <v>37600000</v>
      </c>
      <c r="I30" s="9">
        <f>ROUND(F30*H30,0)</f>
        <v/>
      </c>
      <c r="J30" s="9" t="n">
        <v>4342260</v>
      </c>
      <c r="K30" s="9">
        <f>ROUND(G30*J30,0)</f>
        <v/>
      </c>
      <c r="L30" s="9">
        <f>I30+K30</f>
        <v/>
      </c>
    </row>
    <row r="31">
      <c r="A31" s="6" t="n">
        <v>28</v>
      </c>
      <c r="B31" s="6" t="n"/>
      <c r="C31" s="6" t="inlineStr">
        <is>
          <t>LK26-8</t>
        </is>
      </c>
      <c r="D31" s="6" t="inlineStr">
        <is>
          <t>Đường 36m - Đường 40m</t>
        </is>
      </c>
      <c r="E31" s="6" t="inlineStr">
        <is>
          <t>Hố ga</t>
        </is>
      </c>
      <c r="F31" s="7" t="n">
        <v>315.1</v>
      </c>
      <c r="G31" s="8" t="n">
        <v>909.2</v>
      </c>
      <c r="H31" s="9" t="n">
        <v>30758000</v>
      </c>
      <c r="I31" s="9">
        <f>ROUND(F31*H31,0)</f>
        <v/>
      </c>
      <c r="J31" s="9" t="n">
        <v>4026410</v>
      </c>
      <c r="K31" s="9">
        <f>ROUND(G31*J31,0)</f>
        <v/>
      </c>
      <c r="L31" s="9">
        <f>I31+K31</f>
        <v/>
      </c>
    </row>
    <row r="32">
      <c r="A32" s="6" t="n">
        <v>29</v>
      </c>
      <c r="B32" s="6" t="n"/>
      <c r="C32" s="6" t="inlineStr">
        <is>
          <t>LK26-9</t>
        </is>
      </c>
      <c r="D32" s="6" t="inlineStr">
        <is>
          <t>Đường 40m</t>
        </is>
      </c>
      <c r="E32" s="6" t="n"/>
      <c r="F32" s="7" t="n">
        <v>129.1</v>
      </c>
      <c r="G32" s="8" t="n">
        <v>400.2</v>
      </c>
      <c r="H32" s="9" t="n">
        <v>33800000</v>
      </c>
      <c r="I32" s="9">
        <f>ROUND(F32*H32,0)</f>
        <v/>
      </c>
      <c r="J32" s="9" t="n">
        <v>4342260</v>
      </c>
      <c r="K32" s="9">
        <f>ROUND(G32*J32,0)</f>
        <v/>
      </c>
      <c r="L32" s="9">
        <f>I32+K32</f>
        <v/>
      </c>
    </row>
    <row r="33">
      <c r="A33" s="6" t="n">
        <v>30</v>
      </c>
      <c r="B33" s="6" t="n"/>
      <c r="C33" s="6" t="inlineStr">
        <is>
          <t>LK26-10</t>
        </is>
      </c>
      <c r="D33" s="6" t="inlineStr">
        <is>
          <t>Đường 40m</t>
        </is>
      </c>
      <c r="E33" s="6" t="n"/>
      <c r="F33" s="7" t="n">
        <v>130</v>
      </c>
      <c r="G33" s="8" t="n">
        <v>400.2</v>
      </c>
      <c r="H33" s="9" t="n">
        <v>33800000</v>
      </c>
      <c r="I33" s="9">
        <f>ROUND(F33*H33,0)</f>
        <v/>
      </c>
      <c r="J33" s="9" t="n">
        <v>4342260</v>
      </c>
      <c r="K33" s="9">
        <f>ROUND(G33*J33,0)</f>
        <v/>
      </c>
      <c r="L33" s="9">
        <f>I33+K33</f>
        <v/>
      </c>
    </row>
    <row r="34">
      <c r="A34" s="6" t="n">
        <v>31</v>
      </c>
      <c r="B34" s="6" t="n"/>
      <c r="C34" s="6" t="inlineStr">
        <is>
          <t>LK26-11</t>
        </is>
      </c>
      <c r="D34" s="6" t="inlineStr">
        <is>
          <t>Đường 40m</t>
        </is>
      </c>
      <c r="E34" s="6" t="n"/>
      <c r="F34" s="7" t="n">
        <v>130</v>
      </c>
      <c r="G34" s="8" t="n">
        <v>400.2</v>
      </c>
      <c r="H34" s="9" t="n">
        <v>33800000</v>
      </c>
      <c r="I34" s="9">
        <f>ROUND(F34*H34,0)</f>
        <v/>
      </c>
      <c r="J34" s="9" t="n">
        <v>4342260</v>
      </c>
      <c r="K34" s="9">
        <f>ROUND(G34*J34,0)</f>
        <v/>
      </c>
      <c r="L34" s="9">
        <f>I34+K34</f>
        <v/>
      </c>
    </row>
    <row r="35">
      <c r="A35" s="6" t="n">
        <v>32</v>
      </c>
      <c r="B35" s="6" t="n"/>
      <c r="C35" s="6" t="inlineStr">
        <is>
          <t>LK26-12</t>
        </is>
      </c>
      <c r="D35" s="6" t="inlineStr">
        <is>
          <t>Đường 40m - Đường 6,5m</t>
        </is>
      </c>
      <c r="E35" s="6" t="n"/>
      <c r="F35" s="7" t="n">
        <v>129</v>
      </c>
      <c r="G35" s="8" t="n">
        <v>409.8</v>
      </c>
      <c r="H35" s="9" t="n">
        <v>35828000</v>
      </c>
      <c r="I35" s="9">
        <f>ROUND(F35*H35,0)</f>
        <v/>
      </c>
      <c r="J35" s="9" t="n">
        <v>4342260</v>
      </c>
      <c r="K35" s="9">
        <f>ROUND(G35*J35,0)</f>
        <v/>
      </c>
      <c r="L35" s="9">
        <f>I35+K35</f>
        <v/>
      </c>
    </row>
    <row r="36">
      <c r="A36" s="6" t="n">
        <v>33</v>
      </c>
      <c r="B36" s="6" t="inlineStr">
        <is>
          <t>LK27</t>
        </is>
      </c>
      <c r="C36" s="6" t="inlineStr">
        <is>
          <t>LK27-1</t>
        </is>
      </c>
      <c r="D36" s="6" t="inlineStr">
        <is>
          <t>Đường 40m - Đường 11,5m</t>
        </is>
      </c>
      <c r="E36" s="6" t="inlineStr">
        <is>
          <t>Hố ga</t>
        </is>
      </c>
      <c r="F36" s="7" t="n">
        <v>228</v>
      </c>
      <c r="G36" s="8" t="n">
        <v>605.1</v>
      </c>
      <c r="H36" s="9" t="n">
        <v>32448000</v>
      </c>
      <c r="I36" s="9">
        <f>ROUND(F36*H36,0)</f>
        <v/>
      </c>
      <c r="J36" s="9" t="n">
        <v>4342260</v>
      </c>
      <c r="K36" s="9">
        <f>ROUND(G36*J36,0)</f>
        <v/>
      </c>
      <c r="L36" s="9">
        <f>I36+K36</f>
        <v/>
      </c>
    </row>
    <row r="37">
      <c r="A37" s="6" t="n">
        <v>34</v>
      </c>
      <c r="B37" s="6" t="n"/>
      <c r="C37" s="6" t="inlineStr">
        <is>
          <t>LK27-2</t>
        </is>
      </c>
      <c r="D37" s="6" t="inlineStr">
        <is>
          <t>Đường 40m</t>
        </is>
      </c>
      <c r="E37" s="6" t="n"/>
      <c r="F37" s="7" t="n">
        <v>130</v>
      </c>
      <c r="G37" s="8" t="n">
        <v>400.2</v>
      </c>
      <c r="H37" s="9" t="n">
        <v>33800000</v>
      </c>
      <c r="I37" s="9">
        <f>ROUND(F37*H37,0)</f>
        <v/>
      </c>
      <c r="J37" s="9" t="n">
        <v>4342260</v>
      </c>
      <c r="K37" s="9">
        <f>ROUND(G37*J37,0)</f>
        <v/>
      </c>
      <c r="L37" s="9">
        <f>I37+K37</f>
        <v/>
      </c>
    </row>
    <row r="38">
      <c r="A38" s="6" t="n">
        <v>35</v>
      </c>
      <c r="B38" s="6" t="n"/>
      <c r="C38" s="6" t="inlineStr">
        <is>
          <t>LK27-3</t>
        </is>
      </c>
      <c r="D38" s="6" t="inlineStr">
        <is>
          <t>Đường 40m</t>
        </is>
      </c>
      <c r="E38" s="6" t="n"/>
      <c r="F38" s="7" t="n">
        <v>130</v>
      </c>
      <c r="G38" s="8" t="n">
        <v>400.2</v>
      </c>
      <c r="H38" s="9" t="n">
        <v>33800000</v>
      </c>
      <c r="I38" s="9">
        <f>ROUND(F38*H38,0)</f>
        <v/>
      </c>
      <c r="J38" s="9" t="n">
        <v>4342260</v>
      </c>
      <c r="K38" s="9">
        <f>ROUND(G38*J38,0)</f>
        <v/>
      </c>
      <c r="L38" s="9">
        <f>I38+K38</f>
        <v/>
      </c>
    </row>
    <row r="39">
      <c r="A39" s="6" t="n">
        <v>36</v>
      </c>
      <c r="B39" s="6" t="n"/>
      <c r="C39" s="6" t="inlineStr">
        <is>
          <t>LK27-4</t>
        </is>
      </c>
      <c r="D39" s="6" t="inlineStr">
        <is>
          <t>Đường 40m</t>
        </is>
      </c>
      <c r="E39" s="6" t="n"/>
      <c r="F39" s="7" t="n">
        <v>130</v>
      </c>
      <c r="G39" s="8" t="n">
        <v>400.2</v>
      </c>
      <c r="H39" s="9" t="n">
        <v>33800000</v>
      </c>
      <c r="I39" s="9">
        <f>ROUND(F39*H39,0)</f>
        <v/>
      </c>
      <c r="J39" s="9" t="n">
        <v>4342260</v>
      </c>
      <c r="K39" s="9">
        <f>ROUND(G39*J39,0)</f>
        <v/>
      </c>
      <c r="L39" s="9">
        <f>I39+K39</f>
        <v/>
      </c>
    </row>
    <row r="40">
      <c r="A40" s="6" t="n">
        <v>37</v>
      </c>
      <c r="B40" s="6" t="n"/>
      <c r="C40" s="6" t="inlineStr">
        <is>
          <t>LK27-5</t>
        </is>
      </c>
      <c r="D40" s="6" t="inlineStr">
        <is>
          <t>Đường 40m</t>
        </is>
      </c>
      <c r="E40" s="6" t="n"/>
      <c r="F40" s="7" t="n">
        <v>130</v>
      </c>
      <c r="G40" s="8" t="n">
        <v>400.2</v>
      </c>
      <c r="H40" s="9" t="n">
        <v>33800000</v>
      </c>
      <c r="I40" s="9">
        <f>ROUND(F40*H40,0)</f>
        <v/>
      </c>
      <c r="J40" s="9" t="n">
        <v>4342260</v>
      </c>
      <c r="K40" s="9">
        <f>ROUND(G40*J40,0)</f>
        <v/>
      </c>
      <c r="L40" s="9">
        <f>I40+K40</f>
        <v/>
      </c>
    </row>
    <row r="41">
      <c r="A41" s="6" t="n">
        <v>38</v>
      </c>
      <c r="B41" s="6" t="n"/>
      <c r="C41" s="6" t="inlineStr">
        <is>
          <t>LK27-6</t>
        </is>
      </c>
      <c r="D41" s="6" t="inlineStr">
        <is>
          <t>Đường 40m - Đường 6,5m</t>
        </is>
      </c>
      <c r="E41" s="6" t="n"/>
      <c r="F41" s="7" t="n">
        <v>129</v>
      </c>
      <c r="G41" s="8" t="n">
        <v>409.8</v>
      </c>
      <c r="H41" s="9" t="n">
        <v>36504000</v>
      </c>
      <c r="I41" s="9">
        <f>ROUND(F41*H41,0)</f>
        <v/>
      </c>
      <c r="J41" s="9" t="n">
        <v>4342260</v>
      </c>
      <c r="K41" s="9">
        <f>ROUND(G41*J41,0)</f>
        <v/>
      </c>
      <c r="L41" s="9">
        <f>I41+K41</f>
        <v/>
      </c>
    </row>
    <row r="42">
      <c r="A42" s="6" t="n">
        <v>39</v>
      </c>
      <c r="B42" s="6" t="inlineStr">
        <is>
          <t>BT11</t>
        </is>
      </c>
      <c r="C42" s="6" t="inlineStr">
        <is>
          <t>BT11-1</t>
        </is>
      </c>
      <c r="D42" s="6" t="inlineStr">
        <is>
          <t>Đường 11,5m - Đường 23,7m</t>
        </is>
      </c>
      <c r="E42" s="6" t="inlineStr">
        <is>
          <t>Tủ điện</t>
        </is>
      </c>
      <c r="F42" s="7" t="n">
        <v>186.8</v>
      </c>
      <c r="G42" s="8" t="n">
        <v>371.83</v>
      </c>
      <c r="H42" s="9" t="n">
        <v>36652000</v>
      </c>
      <c r="I42" s="9">
        <f>ROUND(F42*H42,0)</f>
        <v/>
      </c>
      <c r="J42" s="9" t="n">
        <v>5985260</v>
      </c>
      <c r="K42" s="9">
        <f>ROUND(G42*J42,0)</f>
        <v/>
      </c>
      <c r="L42" s="9">
        <f>I42+K42</f>
        <v/>
      </c>
    </row>
    <row r="43">
      <c r="A43" s="6" t="n">
        <v>40</v>
      </c>
      <c r="B43" s="6" t="n"/>
      <c r="C43" s="6" t="inlineStr">
        <is>
          <t>BT11-2</t>
        </is>
      </c>
      <c r="D43" s="6" t="inlineStr">
        <is>
          <t>Đường 23,7m</t>
        </is>
      </c>
      <c r="E43" s="6" t="n"/>
      <c r="F43" s="7" t="n">
        <v>198</v>
      </c>
      <c r="G43" s="8" t="n">
        <v>368.02</v>
      </c>
      <c r="H43" s="9" t="n">
        <v>32912000</v>
      </c>
      <c r="I43" s="9">
        <f>ROUND(F43*H43,0)</f>
        <v/>
      </c>
      <c r="J43" s="9" t="n">
        <v>5985260</v>
      </c>
      <c r="K43" s="9">
        <f>ROUND(G43*J43,0)</f>
        <v/>
      </c>
      <c r="L43" s="9">
        <f>I43+K43</f>
        <v/>
      </c>
    </row>
    <row r="44">
      <c r="A44" s="6" t="n">
        <v>41</v>
      </c>
      <c r="B44" s="6" t="n"/>
      <c r="C44" s="6" t="inlineStr">
        <is>
          <t>BT11-3</t>
        </is>
      </c>
      <c r="D44" s="6" t="inlineStr">
        <is>
          <t>Đường 23,7m</t>
        </is>
      </c>
      <c r="E44" s="6" t="n"/>
      <c r="F44" s="7" t="n">
        <v>198</v>
      </c>
      <c r="G44" s="8" t="n">
        <v>368.02</v>
      </c>
      <c r="H44" s="9" t="n">
        <v>32912000</v>
      </c>
      <c r="I44" s="9">
        <f>ROUND(F44*H44,0)</f>
        <v/>
      </c>
      <c r="J44" s="9" t="n">
        <v>5985260</v>
      </c>
      <c r="K44" s="9">
        <f>ROUND(G44*J44,0)</f>
        <v/>
      </c>
      <c r="L44" s="9">
        <f>I44+K44</f>
        <v/>
      </c>
    </row>
    <row r="45">
      <c r="A45" s="6" t="n">
        <v>42</v>
      </c>
      <c r="B45" s="6" t="n"/>
      <c r="C45" s="6" t="inlineStr">
        <is>
          <t>BT11-4</t>
        </is>
      </c>
      <c r="D45" s="6" t="inlineStr">
        <is>
          <t>Đường 23,7m - Đường 4m</t>
        </is>
      </c>
      <c r="E45" s="6" t="n"/>
      <c r="F45" s="7" t="n">
        <v>199.2</v>
      </c>
      <c r="G45" s="8" t="n">
        <v>368.02</v>
      </c>
      <c r="H45" s="9" t="n">
        <v>36652000</v>
      </c>
      <c r="I45" s="9">
        <f>ROUND(F45*H45,0)</f>
        <v/>
      </c>
      <c r="J45" s="9" t="n">
        <v>5985260</v>
      </c>
      <c r="K45" s="9">
        <f>ROUND(G45*J45,0)</f>
        <v/>
      </c>
      <c r="L45" s="9">
        <f>I45+K45</f>
        <v/>
      </c>
    </row>
    <row r="46">
      <c r="A46" s="6" t="n">
        <v>43</v>
      </c>
      <c r="B46" s="6" t="inlineStr">
        <is>
          <t>BT12</t>
        </is>
      </c>
      <c r="C46" s="6" t="inlineStr">
        <is>
          <t>BT12-1</t>
        </is>
      </c>
      <c r="D46" s="6" t="inlineStr">
        <is>
          <t>Đường 11,5m - Đường 11,5m</t>
        </is>
      </c>
      <c r="E46" s="6" t="inlineStr">
        <is>
          <t>Hố ga</t>
        </is>
      </c>
      <c r="F46" s="7" t="n">
        <v>196.8</v>
      </c>
      <c r="G46" s="8" t="n">
        <v>371.83</v>
      </c>
      <c r="H46" s="9" t="n">
        <v>37774000</v>
      </c>
      <c r="I46" s="9">
        <f>ROUND(F46*H46,0)</f>
        <v/>
      </c>
      <c r="J46" s="9" t="n">
        <v>5985260</v>
      </c>
      <c r="K46" s="9">
        <f>ROUND(G46*J46,0)</f>
        <v/>
      </c>
      <c r="L46" s="9">
        <f>I46+K46</f>
        <v/>
      </c>
    </row>
    <row r="47">
      <c r="A47" s="6" t="n">
        <v>44</v>
      </c>
      <c r="B47" s="6" t="n"/>
      <c r="C47" s="6" t="inlineStr">
        <is>
          <t>BT12-2</t>
        </is>
      </c>
      <c r="D47" s="6" t="inlineStr">
        <is>
          <t>Đường 11,5m</t>
        </is>
      </c>
      <c r="E47" s="6" t="n"/>
      <c r="F47" s="7" t="n">
        <v>198</v>
      </c>
      <c r="G47" s="8" t="n">
        <v>368.02</v>
      </c>
      <c r="H47" s="9" t="n">
        <v>34408000</v>
      </c>
      <c r="I47" s="9">
        <f>ROUND(F47*H47,0)</f>
        <v/>
      </c>
      <c r="J47" s="9" t="n">
        <v>5985260</v>
      </c>
      <c r="K47" s="9">
        <f>ROUND(G47*J47,0)</f>
        <v/>
      </c>
      <c r="L47" s="9">
        <f>I47+K47</f>
        <v/>
      </c>
    </row>
    <row r="48">
      <c r="A48" s="6" t="n">
        <v>45</v>
      </c>
      <c r="B48" s="6" t="n"/>
      <c r="C48" s="6" t="inlineStr">
        <is>
          <t>BT12-3</t>
        </is>
      </c>
      <c r="D48" s="6" t="inlineStr">
        <is>
          <t>Đường 11,5m</t>
        </is>
      </c>
      <c r="E48" s="6" t="inlineStr">
        <is>
          <t>Hố ga</t>
        </is>
      </c>
      <c r="F48" s="7" t="n">
        <v>198</v>
      </c>
      <c r="G48" s="8" t="n">
        <v>368.02</v>
      </c>
      <c r="H48" s="9" t="n">
        <v>34034000</v>
      </c>
      <c r="I48" s="9">
        <f>ROUND(F48*H48,0)</f>
        <v/>
      </c>
      <c r="J48" s="9" t="n">
        <v>5985260</v>
      </c>
      <c r="K48" s="9">
        <f>ROUND(G48*J48,0)</f>
        <v/>
      </c>
      <c r="L48" s="9">
        <f>I48+K48</f>
        <v/>
      </c>
    </row>
    <row r="49">
      <c r="A49" s="6" t="n">
        <v>46</v>
      </c>
      <c r="B49" s="6" t="n"/>
      <c r="C49" s="6" t="inlineStr">
        <is>
          <t>BT12-4</t>
        </is>
      </c>
      <c r="D49" s="6" t="inlineStr">
        <is>
          <t>Đường 11,5m - Đường 4m</t>
        </is>
      </c>
      <c r="E49" s="6" t="inlineStr">
        <is>
          <t>Hố ga</t>
        </is>
      </c>
      <c r="F49" s="7" t="n">
        <v>205.5</v>
      </c>
      <c r="G49" s="8" t="n">
        <v>368.02</v>
      </c>
      <c r="H49" s="9" t="n">
        <v>36278000</v>
      </c>
      <c r="I49" s="9">
        <f>ROUND(F49*H49,0)</f>
        <v/>
      </c>
      <c r="J49" s="9" t="n">
        <v>5985260</v>
      </c>
      <c r="K49" s="9">
        <f>ROUND(G49*J49,0)</f>
        <v/>
      </c>
      <c r="L49" s="9">
        <f>I49+K49</f>
        <v/>
      </c>
    </row>
    <row r="50">
      <c r="A50" s="6" t="n">
        <v>47</v>
      </c>
      <c r="B50" s="6" t="n"/>
      <c r="C50" s="6" t="inlineStr">
        <is>
          <t>BT12-5</t>
        </is>
      </c>
      <c r="D50" s="6" t="inlineStr">
        <is>
          <t>Đường 11,5m - Đường 23,7m</t>
        </is>
      </c>
      <c r="E50" s="6" t="n"/>
      <c r="F50" s="7" t="n">
        <v>198.5</v>
      </c>
      <c r="G50" s="8" t="n">
        <v>371.83</v>
      </c>
      <c r="H50" s="9" t="n">
        <v>37400000</v>
      </c>
      <c r="I50" s="9">
        <f>ROUND(F50*H50,0)</f>
        <v/>
      </c>
      <c r="J50" s="9" t="n">
        <v>5985260</v>
      </c>
      <c r="K50" s="9">
        <f>ROUND(G50*J50,0)</f>
        <v/>
      </c>
      <c r="L50" s="9">
        <f>I50+K50</f>
        <v/>
      </c>
    </row>
    <row r="51">
      <c r="A51" s="6" t="n">
        <v>48</v>
      </c>
      <c r="B51" s="6" t="n"/>
      <c r="C51" s="6" t="inlineStr">
        <is>
          <t>BT12-6</t>
        </is>
      </c>
      <c r="D51" s="6" t="inlineStr">
        <is>
          <t>Đường 23,7m</t>
        </is>
      </c>
      <c r="E51" s="6" t="n"/>
      <c r="F51" s="7" t="n">
        <v>206.1</v>
      </c>
      <c r="G51" s="8" t="n">
        <v>368.02</v>
      </c>
      <c r="H51" s="9" t="n">
        <v>32164000</v>
      </c>
      <c r="I51" s="9">
        <f>ROUND(F51*H51,0)</f>
        <v/>
      </c>
      <c r="J51" s="9" t="n">
        <v>5985260</v>
      </c>
      <c r="K51" s="9">
        <f>ROUND(G51*J51,0)</f>
        <v/>
      </c>
      <c r="L51" s="9">
        <f>I51+K51</f>
        <v/>
      </c>
    </row>
    <row r="52">
      <c r="A52" s="6" t="n">
        <v>49</v>
      </c>
      <c r="B52" s="6" t="n"/>
      <c r="C52" s="6" t="inlineStr">
        <is>
          <t>BT12-7</t>
        </is>
      </c>
      <c r="D52" s="6" t="inlineStr">
        <is>
          <t>Đường 23,7m</t>
        </is>
      </c>
      <c r="E52" s="6" t="n"/>
      <c r="F52" s="7" t="n">
        <v>206.1</v>
      </c>
      <c r="G52" s="8" t="n">
        <v>368.02</v>
      </c>
      <c r="H52" s="9" t="n">
        <v>32164000</v>
      </c>
      <c r="I52" s="9">
        <f>ROUND(F52*H52,0)</f>
        <v/>
      </c>
      <c r="J52" s="9" t="n">
        <v>5985260</v>
      </c>
      <c r="K52" s="9">
        <f>ROUND(G52*J52,0)</f>
        <v/>
      </c>
      <c r="L52" s="9">
        <f>I52+K52</f>
        <v/>
      </c>
    </row>
    <row r="53">
      <c r="A53" s="6" t="n">
        <v>50</v>
      </c>
      <c r="B53" s="6" t="n"/>
      <c r="C53" s="6" t="inlineStr">
        <is>
          <t>BT12-8</t>
        </is>
      </c>
      <c r="D53" s="6" t="inlineStr">
        <is>
          <t>Đường 23,7m - Đường 4m</t>
        </is>
      </c>
      <c r="E53" s="6" t="n"/>
      <c r="F53" s="7" t="n">
        <v>216</v>
      </c>
      <c r="G53" s="8" t="n">
        <v>368.02</v>
      </c>
      <c r="H53" s="9" t="n">
        <v>35904000</v>
      </c>
      <c r="I53" s="9">
        <f>ROUND(F53*H53,0)</f>
        <v/>
      </c>
      <c r="J53" s="9" t="n">
        <v>5985260</v>
      </c>
      <c r="K53" s="9">
        <f>ROUND(G53*J53,0)</f>
        <v/>
      </c>
      <c r="L53" s="9">
        <f>I53+K53</f>
        <v/>
      </c>
    </row>
    <row r="54">
      <c r="A54" s="2" t="inlineStr">
        <is>
          <t>CT3</t>
        </is>
      </c>
      <c r="B54" s="2" t="n"/>
      <c r="C54" s="2" t="n"/>
      <c r="D54" s="2" t="n"/>
      <c r="E54" s="2" t="n"/>
      <c r="F54" s="3" t="n"/>
      <c r="G54" s="4">
        <f>SUM(G55:G98)</f>
        <v/>
      </c>
      <c r="H54" s="5" t="n"/>
      <c r="I54" s="5">
        <f>SUM(I55:I98)</f>
        <v/>
      </c>
      <c r="J54" s="5" t="n"/>
      <c r="K54" s="5">
        <f>ROUND(SUMPRODUCT(G55:G98,J55:J98),0)</f>
        <v/>
      </c>
      <c r="L54" s="5">
        <f>I54+K54</f>
        <v/>
      </c>
    </row>
    <row r="55">
      <c r="A55" s="6" t="n">
        <v>51</v>
      </c>
      <c r="B55" s="6" t="inlineStr">
        <is>
          <t>LK28</t>
        </is>
      </c>
      <c r="C55" s="6" t="inlineStr">
        <is>
          <t>LK28-1</t>
        </is>
      </c>
      <c r="D55" s="6" t="inlineStr">
        <is>
          <t>Đường 36m - Đường 17m</t>
        </is>
      </c>
      <c r="E55" s="6" t="inlineStr">
        <is>
          <t>Hố ga</t>
        </is>
      </c>
      <c r="F55" s="7" t="n">
        <v>182.8</v>
      </c>
      <c r="G55" s="8" t="n">
        <v>500.1</v>
      </c>
      <c r="H55" s="9" t="n">
        <v>38728000</v>
      </c>
      <c r="I55" s="9">
        <f>ROUND(F55*H55,0)</f>
        <v/>
      </c>
      <c r="J55" s="9" t="n">
        <v>4342260</v>
      </c>
      <c r="K55" s="9">
        <f>ROUND(G55*J55,0)</f>
        <v/>
      </c>
      <c r="L55" s="9">
        <f>I55+K55</f>
        <v/>
      </c>
    </row>
    <row r="56">
      <c r="A56" s="6" t="n">
        <v>52</v>
      </c>
      <c r="B56" s="6" t="n"/>
      <c r="C56" s="6" t="inlineStr">
        <is>
          <t>LK28-2</t>
        </is>
      </c>
      <c r="D56" s="6" t="inlineStr">
        <is>
          <t>Đường 36m</t>
        </is>
      </c>
      <c r="E56" s="6" t="n"/>
      <c r="F56" s="7" t="n">
        <v>130</v>
      </c>
      <c r="G56" s="8" t="n">
        <v>400.2</v>
      </c>
      <c r="H56" s="9" t="n">
        <v>37600000</v>
      </c>
      <c r="I56" s="9">
        <f>ROUND(F56*H56,0)</f>
        <v/>
      </c>
      <c r="J56" s="9" t="n">
        <v>4342260</v>
      </c>
      <c r="K56" s="9">
        <f>ROUND(G56*J56,0)</f>
        <v/>
      </c>
      <c r="L56" s="9">
        <f>I56+K56</f>
        <v/>
      </c>
    </row>
    <row r="57">
      <c r="A57" s="6" t="n">
        <v>53</v>
      </c>
      <c r="B57" s="6" t="n"/>
      <c r="C57" s="6" t="inlineStr">
        <is>
          <t>LK28-3</t>
        </is>
      </c>
      <c r="D57" s="6" t="inlineStr">
        <is>
          <t>Đường 36m</t>
        </is>
      </c>
      <c r="E57" s="6" t="n"/>
      <c r="F57" s="7" t="n">
        <v>130</v>
      </c>
      <c r="G57" s="8" t="n">
        <v>400.2</v>
      </c>
      <c r="H57" s="9" t="n">
        <v>37600000</v>
      </c>
      <c r="I57" s="9">
        <f>ROUND(F57*H57,0)</f>
        <v/>
      </c>
      <c r="J57" s="9" t="n">
        <v>4342260</v>
      </c>
      <c r="K57" s="9">
        <f>ROUND(G57*J57,0)</f>
        <v/>
      </c>
      <c r="L57" s="9">
        <f>I57+K57</f>
        <v/>
      </c>
    </row>
    <row r="58">
      <c r="A58" s="6" t="n">
        <v>54</v>
      </c>
      <c r="B58" s="6" t="n"/>
      <c r="C58" s="6" t="inlineStr">
        <is>
          <t>LK28-4</t>
        </is>
      </c>
      <c r="D58" s="6" t="inlineStr">
        <is>
          <t>Đường 36m</t>
        </is>
      </c>
      <c r="E58" s="6" t="n"/>
      <c r="F58" s="7" t="n">
        <v>130</v>
      </c>
      <c r="G58" s="8" t="n">
        <v>400.2</v>
      </c>
      <c r="H58" s="9" t="n">
        <v>37600000</v>
      </c>
      <c r="I58" s="9">
        <f>ROUND(F58*H58,0)</f>
        <v/>
      </c>
      <c r="J58" s="9" t="n">
        <v>4342260</v>
      </c>
      <c r="K58" s="9">
        <f>ROUND(G58*J58,0)</f>
        <v/>
      </c>
      <c r="L58" s="9">
        <f>I58+K58</f>
        <v/>
      </c>
    </row>
    <row r="59">
      <c r="A59" s="6" t="n">
        <v>55</v>
      </c>
      <c r="B59" s="6" t="n"/>
      <c r="C59" s="6" t="inlineStr">
        <is>
          <t>LK28-5</t>
        </is>
      </c>
      <c r="D59" s="6" t="inlineStr">
        <is>
          <t>Đường 36m</t>
        </is>
      </c>
      <c r="E59" s="6" t="n"/>
      <c r="F59" s="7" t="n">
        <v>130</v>
      </c>
      <c r="G59" s="8" t="n">
        <v>400.2</v>
      </c>
      <c r="H59" s="9" t="n">
        <v>37600000</v>
      </c>
      <c r="I59" s="9">
        <f>ROUND(F59*H59,0)</f>
        <v/>
      </c>
      <c r="J59" s="9" t="n">
        <v>4342260</v>
      </c>
      <c r="K59" s="9">
        <f>ROUND(G59*J59,0)</f>
        <v/>
      </c>
      <c r="L59" s="9">
        <f>I59+K59</f>
        <v/>
      </c>
    </row>
    <row r="60">
      <c r="A60" s="6" t="n">
        <v>56</v>
      </c>
      <c r="B60" s="6" t="n"/>
      <c r="C60" s="6" t="inlineStr">
        <is>
          <t>LK28-6</t>
        </is>
      </c>
      <c r="D60" s="6" t="inlineStr">
        <is>
          <t>Đường 36m - Đường 18,5m</t>
        </is>
      </c>
      <c r="E60" s="6" t="inlineStr">
        <is>
          <t>Hố ga</t>
        </is>
      </c>
      <c r="F60" s="7" t="n">
        <v>191.2</v>
      </c>
      <c r="G60" s="8" t="n">
        <v>500.1</v>
      </c>
      <c r="H60" s="9" t="n">
        <v>39480000</v>
      </c>
      <c r="I60" s="9">
        <f>ROUND(F60*H60,0)</f>
        <v/>
      </c>
      <c r="J60" s="9" t="n">
        <v>4342260</v>
      </c>
      <c r="K60" s="9">
        <f>ROUND(G60*J60,0)</f>
        <v/>
      </c>
      <c r="L60" s="9">
        <f>I60+K60</f>
        <v/>
      </c>
    </row>
    <row r="61">
      <c r="A61" s="6" t="n">
        <v>57</v>
      </c>
      <c r="B61" s="6" t="inlineStr">
        <is>
          <t>LK29</t>
        </is>
      </c>
      <c r="C61" s="6" t="inlineStr">
        <is>
          <t>LK29-1</t>
        </is>
      </c>
      <c r="D61" s="6" t="inlineStr">
        <is>
          <t>Đường 36m - Đường 18,5m</t>
        </is>
      </c>
      <c r="E61" s="6" t="inlineStr">
        <is>
          <t>Hố ga</t>
        </is>
      </c>
      <c r="F61" s="7" t="n">
        <v>191.5</v>
      </c>
      <c r="G61" s="8" t="n">
        <v>500.1</v>
      </c>
      <c r="H61" s="9" t="n">
        <v>38728000</v>
      </c>
      <c r="I61" s="9">
        <f>ROUND(F61*H61,0)</f>
        <v/>
      </c>
      <c r="J61" s="9" t="n">
        <v>4342260</v>
      </c>
      <c r="K61" s="9">
        <f>ROUND(G61*J61,0)</f>
        <v/>
      </c>
      <c r="L61" s="9">
        <f>I61+K61</f>
        <v/>
      </c>
    </row>
    <row r="62">
      <c r="A62" s="6" t="n">
        <v>58</v>
      </c>
      <c r="B62" s="6" t="n"/>
      <c r="C62" s="6" t="inlineStr">
        <is>
          <t>LK29-2</t>
        </is>
      </c>
      <c r="D62" s="6" t="inlineStr">
        <is>
          <t>Đường 36m</t>
        </is>
      </c>
      <c r="E62" s="6" t="n"/>
      <c r="F62" s="7" t="n">
        <v>130</v>
      </c>
      <c r="G62" s="8" t="n">
        <v>400.2</v>
      </c>
      <c r="H62" s="9" t="n">
        <v>37600000</v>
      </c>
      <c r="I62" s="9">
        <f>ROUND(F62*H62,0)</f>
        <v/>
      </c>
      <c r="J62" s="9" t="n">
        <v>4342260</v>
      </c>
      <c r="K62" s="9">
        <f>ROUND(G62*J62,0)</f>
        <v/>
      </c>
      <c r="L62" s="9">
        <f>I62+K62</f>
        <v/>
      </c>
    </row>
    <row r="63">
      <c r="A63" s="6" t="n">
        <v>59</v>
      </c>
      <c r="B63" s="6" t="n"/>
      <c r="C63" s="6" t="inlineStr">
        <is>
          <t>LK29-3</t>
        </is>
      </c>
      <c r="D63" s="6" t="inlineStr">
        <is>
          <t>Đường 36m</t>
        </is>
      </c>
      <c r="E63" s="6" t="n"/>
      <c r="F63" s="7" t="n">
        <v>130</v>
      </c>
      <c r="G63" s="8" t="n">
        <v>400.2</v>
      </c>
      <c r="H63" s="9" t="n">
        <v>37600000</v>
      </c>
      <c r="I63" s="9">
        <f>ROUND(F63*H63,0)</f>
        <v/>
      </c>
      <c r="J63" s="9" t="n">
        <v>4342260</v>
      </c>
      <c r="K63" s="9">
        <f>ROUND(G63*J63,0)</f>
        <v/>
      </c>
      <c r="L63" s="9">
        <f>I63+K63</f>
        <v/>
      </c>
    </row>
    <row r="64">
      <c r="A64" s="6" t="n">
        <v>60</v>
      </c>
      <c r="B64" s="6" t="n"/>
      <c r="C64" s="6" t="inlineStr">
        <is>
          <t>LK29-4</t>
        </is>
      </c>
      <c r="D64" s="6" t="inlineStr">
        <is>
          <t>Đường 36m</t>
        </is>
      </c>
      <c r="E64" s="6" t="n"/>
      <c r="F64" s="7" t="n">
        <v>130</v>
      </c>
      <c r="G64" s="8" t="n">
        <v>400.2</v>
      </c>
      <c r="H64" s="9" t="n">
        <v>37600000</v>
      </c>
      <c r="I64" s="9">
        <f>ROUND(F64*H64,0)</f>
        <v/>
      </c>
      <c r="J64" s="9" t="n">
        <v>4342260</v>
      </c>
      <c r="K64" s="9">
        <f>ROUND(G64*J64,0)</f>
        <v/>
      </c>
      <c r="L64" s="9">
        <f>I64+K64</f>
        <v/>
      </c>
    </row>
    <row r="65">
      <c r="A65" s="6" t="n">
        <v>61</v>
      </c>
      <c r="B65" s="6" t="n"/>
      <c r="C65" s="6" t="inlineStr">
        <is>
          <t>LK29-5</t>
        </is>
      </c>
      <c r="D65" s="6" t="inlineStr">
        <is>
          <t>Đường 36m</t>
        </is>
      </c>
      <c r="E65" s="6" t="n"/>
      <c r="F65" s="7" t="n">
        <v>130</v>
      </c>
      <c r="G65" s="8" t="n">
        <v>400.2</v>
      </c>
      <c r="H65" s="9" t="n">
        <v>37600000</v>
      </c>
      <c r="I65" s="9">
        <f>ROUND(F65*H65,0)</f>
        <v/>
      </c>
      <c r="J65" s="9" t="n">
        <v>4342260</v>
      </c>
      <c r="K65" s="9">
        <f>ROUND(G65*J65,0)</f>
        <v/>
      </c>
      <c r="L65" s="9">
        <f>I65+K65</f>
        <v/>
      </c>
    </row>
    <row r="66">
      <c r="A66" s="6" t="n">
        <v>62</v>
      </c>
      <c r="B66" s="6" t="n"/>
      <c r="C66" s="6" t="inlineStr">
        <is>
          <t>LK29-6</t>
        </is>
      </c>
      <c r="D66" s="6" t="inlineStr">
        <is>
          <t>Đường 36m - Đường 11,5m</t>
        </is>
      </c>
      <c r="E66" s="6" t="inlineStr">
        <is>
          <t>Hố ga</t>
        </is>
      </c>
      <c r="F66" s="7" t="n">
        <v>187.5</v>
      </c>
      <c r="G66" s="8" t="n">
        <v>500.1</v>
      </c>
      <c r="H66" s="9" t="n">
        <v>38728000</v>
      </c>
      <c r="I66" s="9">
        <f>ROUND(F66*H66,0)</f>
        <v/>
      </c>
      <c r="J66" s="9" t="n">
        <v>4342260</v>
      </c>
      <c r="K66" s="9">
        <f>ROUND(G66*J66,0)</f>
        <v/>
      </c>
      <c r="L66" s="9">
        <f>I66+K66</f>
        <v/>
      </c>
    </row>
    <row r="67">
      <c r="A67" s="6" t="n">
        <v>63</v>
      </c>
      <c r="B67" s="6" t="inlineStr">
        <is>
          <t>LK30</t>
        </is>
      </c>
      <c r="C67" s="6" t="inlineStr">
        <is>
          <t>LK30-1</t>
        </is>
      </c>
      <c r="D67" s="6" t="inlineStr">
        <is>
          <t>Đường 17m - Đường 6m</t>
        </is>
      </c>
      <c r="E67" s="6" t="n"/>
      <c r="F67" s="7" t="n">
        <v>128.9</v>
      </c>
      <c r="G67" s="8" t="n">
        <v>409.8</v>
      </c>
      <c r="H67" s="9" t="n">
        <v>37152000</v>
      </c>
      <c r="I67" s="9">
        <f>ROUND(F67*H67,0)</f>
        <v/>
      </c>
      <c r="J67" s="9" t="n">
        <v>4342260</v>
      </c>
      <c r="K67" s="9">
        <f>ROUND(G67*J67,0)</f>
        <v/>
      </c>
      <c r="L67" s="9">
        <f>I67+K67</f>
        <v/>
      </c>
    </row>
    <row r="68">
      <c r="A68" s="6" t="n">
        <v>64</v>
      </c>
      <c r="B68" s="6" t="n"/>
      <c r="C68" s="6" t="inlineStr">
        <is>
          <t>LK30-2</t>
        </is>
      </c>
      <c r="D68" s="6" t="inlineStr">
        <is>
          <t>Đường 17m</t>
        </is>
      </c>
      <c r="E68" s="6" t="n"/>
      <c r="F68" s="7" t="n">
        <v>130</v>
      </c>
      <c r="G68" s="8" t="n">
        <v>400.2</v>
      </c>
      <c r="H68" s="9" t="n">
        <v>34400000</v>
      </c>
      <c r="I68" s="9">
        <f>ROUND(F68*H68,0)</f>
        <v/>
      </c>
      <c r="J68" s="9" t="n">
        <v>4342260</v>
      </c>
      <c r="K68" s="9">
        <f>ROUND(G68*J68,0)</f>
        <v/>
      </c>
      <c r="L68" s="9">
        <f>I68+K68</f>
        <v/>
      </c>
    </row>
    <row r="69">
      <c r="A69" s="6" t="n">
        <v>65</v>
      </c>
      <c r="B69" s="6" t="n"/>
      <c r="C69" s="6" t="inlineStr">
        <is>
          <t>LK30-3</t>
        </is>
      </c>
      <c r="D69" s="6" t="inlineStr">
        <is>
          <t>Đường 17m</t>
        </is>
      </c>
      <c r="E69" s="6" t="inlineStr">
        <is>
          <t>Hố ga</t>
        </is>
      </c>
      <c r="F69" s="7" t="n">
        <v>130</v>
      </c>
      <c r="G69" s="8" t="n">
        <v>400.2</v>
      </c>
      <c r="H69" s="9" t="n">
        <v>34056000</v>
      </c>
      <c r="I69" s="9">
        <f>ROUND(F69*H69,0)</f>
        <v/>
      </c>
      <c r="J69" s="9" t="n">
        <v>4342260</v>
      </c>
      <c r="K69" s="9">
        <f>ROUND(G69*J69,0)</f>
        <v/>
      </c>
      <c r="L69" s="9">
        <f>I69+K69</f>
        <v/>
      </c>
    </row>
    <row r="70">
      <c r="A70" s="6" t="n">
        <v>66</v>
      </c>
      <c r="B70" s="6" t="n"/>
      <c r="C70" s="6" t="inlineStr">
        <is>
          <t>LK30-4</t>
        </is>
      </c>
      <c r="D70" s="6" t="inlineStr">
        <is>
          <t>Đường 17m</t>
        </is>
      </c>
      <c r="E70" s="6" t="inlineStr">
        <is>
          <t>Hố ga</t>
        </is>
      </c>
      <c r="F70" s="7" t="n">
        <v>130</v>
      </c>
      <c r="G70" s="8" t="n">
        <v>400.2</v>
      </c>
      <c r="H70" s="9" t="n">
        <v>34056000</v>
      </c>
      <c r="I70" s="9">
        <f>ROUND(F70*H70,0)</f>
        <v/>
      </c>
      <c r="J70" s="9" t="n">
        <v>4342260</v>
      </c>
      <c r="K70" s="9">
        <f>ROUND(G70*J70,0)</f>
        <v/>
      </c>
      <c r="L70" s="9">
        <f>I70+K70</f>
        <v/>
      </c>
    </row>
    <row r="71">
      <c r="A71" s="6" t="n">
        <v>67</v>
      </c>
      <c r="B71" s="6" t="n"/>
      <c r="C71" s="6" t="inlineStr">
        <is>
          <t>LK30-5</t>
        </is>
      </c>
      <c r="D71" s="6" t="inlineStr">
        <is>
          <t>Đường 17m</t>
        </is>
      </c>
      <c r="E71" s="6" t="n"/>
      <c r="F71" s="7" t="n">
        <v>130</v>
      </c>
      <c r="G71" s="8" t="n">
        <v>400.2</v>
      </c>
      <c r="H71" s="9" t="n">
        <v>34400000</v>
      </c>
      <c r="I71" s="9">
        <f>ROUND(F71*H71,0)</f>
        <v/>
      </c>
      <c r="J71" s="9" t="n">
        <v>4342260</v>
      </c>
      <c r="K71" s="9">
        <f>ROUND(G71*J71,0)</f>
        <v/>
      </c>
      <c r="L71" s="9">
        <f>I71+K71</f>
        <v/>
      </c>
    </row>
    <row r="72">
      <c r="A72" s="6" t="n">
        <v>68</v>
      </c>
      <c r="B72" s="6" t="n"/>
      <c r="C72" s="6" t="inlineStr">
        <is>
          <t>LK30-6</t>
        </is>
      </c>
      <c r="D72" s="6" t="inlineStr">
        <is>
          <t>Đường 17m</t>
        </is>
      </c>
      <c r="E72" s="6" t="n"/>
      <c r="F72" s="7" t="n">
        <v>130</v>
      </c>
      <c r="G72" s="8" t="n">
        <v>400.2</v>
      </c>
      <c r="H72" s="9" t="n">
        <v>34400000</v>
      </c>
      <c r="I72" s="9">
        <f>ROUND(F72*H72,0)</f>
        <v/>
      </c>
      <c r="J72" s="9" t="n">
        <v>4342260</v>
      </c>
      <c r="K72" s="9">
        <f>ROUND(G72*J72,0)</f>
        <v/>
      </c>
      <c r="L72" s="9">
        <f>I72+K72</f>
        <v/>
      </c>
    </row>
    <row r="73">
      <c r="A73" s="6" t="n">
        <v>69</v>
      </c>
      <c r="B73" s="6" t="n"/>
      <c r="C73" s="6" t="inlineStr">
        <is>
          <t>LK30-7</t>
        </is>
      </c>
      <c r="D73" s="6" t="inlineStr">
        <is>
          <t>Đường 17m</t>
        </is>
      </c>
      <c r="E73" s="6" t="n"/>
      <c r="F73" s="7" t="n">
        <v>130</v>
      </c>
      <c r="G73" s="8" t="n">
        <v>400.2</v>
      </c>
      <c r="H73" s="9" t="n">
        <v>34400000</v>
      </c>
      <c r="I73" s="9">
        <f>ROUND(F73*H73,0)</f>
        <v/>
      </c>
      <c r="J73" s="9" t="n">
        <v>4342260</v>
      </c>
      <c r="K73" s="9">
        <f>ROUND(G73*J73,0)</f>
        <v/>
      </c>
      <c r="L73" s="9">
        <f>I73+K73</f>
        <v/>
      </c>
    </row>
    <row r="74">
      <c r="A74" s="6" t="n">
        <v>70</v>
      </c>
      <c r="B74" s="6" t="n"/>
      <c r="C74" s="6" t="inlineStr">
        <is>
          <t>LK30-8</t>
        </is>
      </c>
      <c r="D74" s="6" t="inlineStr">
        <is>
          <t>Đường 17m - Đường 12m</t>
        </is>
      </c>
      <c r="E74" s="6" t="inlineStr">
        <is>
          <t>Trạm biến áp; Tủ điện; Hố ga</t>
        </is>
      </c>
      <c r="F74" s="7" t="n">
        <v>160.1</v>
      </c>
      <c r="G74" s="8" t="n">
        <v>436.4</v>
      </c>
      <c r="H74" s="9" t="n">
        <v>34744000</v>
      </c>
      <c r="I74" s="9">
        <f>ROUND(F74*H74,0)</f>
        <v/>
      </c>
      <c r="J74" s="9" t="n">
        <v>4443560</v>
      </c>
      <c r="K74" s="9">
        <f>ROUND(G74*J74,0)</f>
        <v/>
      </c>
      <c r="L74" s="9">
        <f>I74+K74</f>
        <v/>
      </c>
    </row>
    <row r="75">
      <c r="A75" s="6" t="n">
        <v>71</v>
      </c>
      <c r="B75" s="6" t="inlineStr">
        <is>
          <t>LK31</t>
        </is>
      </c>
      <c r="C75" s="6" t="inlineStr">
        <is>
          <t>LK31-1</t>
        </is>
      </c>
      <c r="D75" s="6" t="inlineStr">
        <is>
          <t>Đường 18,5m - Đường 6m</t>
        </is>
      </c>
      <c r="E75" s="6" t="n"/>
      <c r="F75" s="7" t="n">
        <v>129</v>
      </c>
      <c r="G75" s="8" t="n">
        <v>409.8</v>
      </c>
      <c r="H75" s="9" t="n">
        <v>38864000</v>
      </c>
      <c r="I75" s="9">
        <f>ROUND(F75*H75,0)</f>
        <v/>
      </c>
      <c r="J75" s="9" t="n">
        <v>4342260</v>
      </c>
      <c r="K75" s="9">
        <f>ROUND(G75*J75,0)</f>
        <v/>
      </c>
      <c r="L75" s="9">
        <f>I75+K75</f>
        <v/>
      </c>
    </row>
    <row r="76">
      <c r="A76" s="6" t="n">
        <v>72</v>
      </c>
      <c r="B76" s="6" t="n"/>
      <c r="C76" s="6" t="inlineStr">
        <is>
          <t>LK31-2</t>
        </is>
      </c>
      <c r="D76" s="6" t="inlineStr">
        <is>
          <t>Đường 18,5m</t>
        </is>
      </c>
      <c r="E76" s="6" t="n"/>
      <c r="F76" s="7" t="n">
        <v>130</v>
      </c>
      <c r="G76" s="8" t="n">
        <v>400.2</v>
      </c>
      <c r="H76" s="9" t="n">
        <v>36088000</v>
      </c>
      <c r="I76" s="9">
        <f>ROUND(F76*H76,0)</f>
        <v/>
      </c>
      <c r="J76" s="9" t="n">
        <v>4342260</v>
      </c>
      <c r="K76" s="9">
        <f>ROUND(G76*J76,0)</f>
        <v/>
      </c>
      <c r="L76" s="9">
        <f>I76+K76</f>
        <v/>
      </c>
    </row>
    <row r="77">
      <c r="A77" s="6" t="n">
        <v>73</v>
      </c>
      <c r="B77" s="6" t="n"/>
      <c r="C77" s="6" t="inlineStr">
        <is>
          <t>LK31-3</t>
        </is>
      </c>
      <c r="D77" s="6" t="inlineStr">
        <is>
          <t>Đường 18,5m</t>
        </is>
      </c>
      <c r="E77" s="6" t="n"/>
      <c r="F77" s="7" t="n">
        <v>130</v>
      </c>
      <c r="G77" s="8" t="n">
        <v>400.2</v>
      </c>
      <c r="H77" s="9" t="n">
        <v>36088000</v>
      </c>
      <c r="I77" s="9">
        <f>ROUND(F77*H77,0)</f>
        <v/>
      </c>
      <c r="J77" s="9" t="n">
        <v>4342260</v>
      </c>
      <c r="K77" s="9">
        <f>ROUND(G77*J77,0)</f>
        <v/>
      </c>
      <c r="L77" s="9">
        <f>I77+K77</f>
        <v/>
      </c>
    </row>
    <row r="78">
      <c r="A78" s="6" t="n">
        <v>74</v>
      </c>
      <c r="B78" s="6" t="n"/>
      <c r="C78" s="6" t="inlineStr">
        <is>
          <t>LK31-4</t>
        </is>
      </c>
      <c r="D78" s="6" t="inlineStr">
        <is>
          <t>Đường 18,5m</t>
        </is>
      </c>
      <c r="E78" s="6" t="n"/>
      <c r="F78" s="7" t="n">
        <v>130</v>
      </c>
      <c r="G78" s="8" t="n">
        <v>400.2</v>
      </c>
      <c r="H78" s="9" t="n">
        <v>36088000</v>
      </c>
      <c r="I78" s="9">
        <f>ROUND(F78*H78,0)</f>
        <v/>
      </c>
      <c r="J78" s="9" t="n">
        <v>4342260</v>
      </c>
      <c r="K78" s="9">
        <f>ROUND(G78*J78,0)</f>
        <v/>
      </c>
      <c r="L78" s="9">
        <f>I78+K78</f>
        <v/>
      </c>
    </row>
    <row r="79">
      <c r="A79" s="6" t="n">
        <v>75</v>
      </c>
      <c r="B79" s="6" t="n"/>
      <c r="C79" s="6" t="inlineStr">
        <is>
          <t>LK31-5</t>
        </is>
      </c>
      <c r="D79" s="6" t="inlineStr">
        <is>
          <t>Đường 18,5m</t>
        </is>
      </c>
      <c r="E79" s="6" t="n"/>
      <c r="F79" s="7" t="n">
        <v>130</v>
      </c>
      <c r="G79" s="8" t="n">
        <v>400.2</v>
      </c>
      <c r="H79" s="9" t="n">
        <v>36088000</v>
      </c>
      <c r="I79" s="9">
        <f>ROUND(F79*H79,0)</f>
        <v/>
      </c>
      <c r="J79" s="9" t="n">
        <v>4342260</v>
      </c>
      <c r="K79" s="9">
        <f>ROUND(G79*J79,0)</f>
        <v/>
      </c>
      <c r="L79" s="9">
        <f>I79+K79</f>
        <v/>
      </c>
    </row>
    <row r="80">
      <c r="A80" s="6" t="n">
        <v>76</v>
      </c>
      <c r="B80" s="6" t="n"/>
      <c r="C80" s="6" t="inlineStr">
        <is>
          <t>LK31-6</t>
        </is>
      </c>
      <c r="D80" s="6" t="inlineStr">
        <is>
          <t>Đường 18,5m</t>
        </is>
      </c>
      <c r="E80" s="6" t="n"/>
      <c r="F80" s="7" t="n">
        <v>130</v>
      </c>
      <c r="G80" s="8" t="n">
        <v>400.2</v>
      </c>
      <c r="H80" s="9" t="n">
        <v>36088000</v>
      </c>
      <c r="I80" s="9">
        <f>ROUND(F80*H80,0)</f>
        <v/>
      </c>
      <c r="J80" s="9" t="n">
        <v>4342260</v>
      </c>
      <c r="K80" s="9">
        <f>ROUND(G80*J80,0)</f>
        <v/>
      </c>
      <c r="L80" s="9">
        <f>I80+K80</f>
        <v/>
      </c>
    </row>
    <row r="81">
      <c r="A81" s="6" t="n">
        <v>77</v>
      </c>
      <c r="B81" s="6" t="n"/>
      <c r="C81" s="6" t="inlineStr">
        <is>
          <t>LK31-7</t>
        </is>
      </c>
      <c r="D81" s="6" t="inlineStr">
        <is>
          <t>Đường 18,5m</t>
        </is>
      </c>
      <c r="E81" s="6" t="n"/>
      <c r="F81" s="7" t="n">
        <v>130</v>
      </c>
      <c r="G81" s="8" t="n">
        <v>400.2</v>
      </c>
      <c r="H81" s="9" t="n">
        <v>36088000</v>
      </c>
      <c r="I81" s="9">
        <f>ROUND(F81*H81,0)</f>
        <v/>
      </c>
      <c r="J81" s="9" t="n">
        <v>4342260</v>
      </c>
      <c r="K81" s="9">
        <f>ROUND(G81*J81,0)</f>
        <v/>
      </c>
      <c r="L81" s="9">
        <f>I81+K81</f>
        <v/>
      </c>
    </row>
    <row r="82">
      <c r="A82" s="6" t="n">
        <v>78</v>
      </c>
      <c r="B82" s="6" t="n"/>
      <c r="C82" s="6" t="inlineStr">
        <is>
          <t>LK31-8</t>
        </is>
      </c>
      <c r="D82" s="6" t="inlineStr">
        <is>
          <t>Đường 18,5m - Đường 12m</t>
        </is>
      </c>
      <c r="E82" s="6" t="inlineStr">
        <is>
          <t>Hố ga</t>
        </is>
      </c>
      <c r="F82" s="7" t="n">
        <v>162</v>
      </c>
      <c r="G82" s="8" t="n">
        <v>436.4</v>
      </c>
      <c r="H82" s="9" t="n">
        <v>37476000</v>
      </c>
      <c r="I82" s="9">
        <f>ROUND(F82*H82,0)</f>
        <v/>
      </c>
      <c r="J82" s="9" t="n">
        <v>4342260</v>
      </c>
      <c r="K82" s="9">
        <f>ROUND(G82*J82,0)</f>
        <v/>
      </c>
      <c r="L82" s="9">
        <f>I82+K82</f>
        <v/>
      </c>
    </row>
    <row r="83">
      <c r="A83" s="6" t="n">
        <v>79</v>
      </c>
      <c r="B83" s="6" t="inlineStr">
        <is>
          <t>LK32</t>
        </is>
      </c>
      <c r="C83" s="6" t="inlineStr">
        <is>
          <t>LK32-1</t>
        </is>
      </c>
      <c r="D83" s="6" t="inlineStr">
        <is>
          <t>Đường 18,5m - Đường 6m</t>
        </is>
      </c>
      <c r="E83" s="6" t="n"/>
      <c r="F83" s="7" t="n">
        <v>129</v>
      </c>
      <c r="G83" s="8" t="n">
        <v>409.8</v>
      </c>
      <c r="H83" s="9" t="n">
        <v>37476000</v>
      </c>
      <c r="I83" s="9">
        <f>ROUND(F83*H83,0)</f>
        <v/>
      </c>
      <c r="J83" s="9" t="n">
        <v>4342260</v>
      </c>
      <c r="K83" s="9">
        <f>ROUND(G83*J83,0)</f>
        <v/>
      </c>
      <c r="L83" s="9">
        <f>I83+K83</f>
        <v/>
      </c>
    </row>
    <row r="84">
      <c r="A84" s="6" t="n">
        <v>80</v>
      </c>
      <c r="B84" s="6" t="n"/>
      <c r="C84" s="6" t="inlineStr">
        <is>
          <t>LK32-2</t>
        </is>
      </c>
      <c r="D84" s="6" t="inlineStr">
        <is>
          <t>Đường 18,5m</t>
        </is>
      </c>
      <c r="E84" s="6" t="n"/>
      <c r="F84" s="7" t="n">
        <v>130</v>
      </c>
      <c r="G84" s="8" t="n">
        <v>400.2</v>
      </c>
      <c r="H84" s="9" t="n">
        <v>34700000</v>
      </c>
      <c r="I84" s="9">
        <f>ROUND(F84*H84,0)</f>
        <v/>
      </c>
      <c r="J84" s="9" t="n">
        <v>4342260</v>
      </c>
      <c r="K84" s="9">
        <f>ROUND(G84*J84,0)</f>
        <v/>
      </c>
      <c r="L84" s="9">
        <f>I84+K84</f>
        <v/>
      </c>
    </row>
    <row r="85">
      <c r="A85" s="6" t="n">
        <v>81</v>
      </c>
      <c r="B85" s="6" t="n"/>
      <c r="C85" s="6" t="inlineStr">
        <is>
          <t>LK32-3</t>
        </is>
      </c>
      <c r="D85" s="6" t="inlineStr">
        <is>
          <t>Đường 18,5m</t>
        </is>
      </c>
      <c r="E85" s="6" t="n"/>
      <c r="F85" s="7" t="n">
        <v>130</v>
      </c>
      <c r="G85" s="8" t="n">
        <v>400.2</v>
      </c>
      <c r="H85" s="9" t="n">
        <v>34700000</v>
      </c>
      <c r="I85" s="9">
        <f>ROUND(F85*H85,0)</f>
        <v/>
      </c>
      <c r="J85" s="9" t="n">
        <v>4342260</v>
      </c>
      <c r="K85" s="9">
        <f>ROUND(G85*J85,0)</f>
        <v/>
      </c>
      <c r="L85" s="9">
        <f>I85+K85</f>
        <v/>
      </c>
    </row>
    <row r="86">
      <c r="A86" s="6" t="n">
        <v>82</v>
      </c>
      <c r="B86" s="6" t="n"/>
      <c r="C86" s="6" t="inlineStr">
        <is>
          <t>LK32-4</t>
        </is>
      </c>
      <c r="D86" s="6" t="inlineStr">
        <is>
          <t>Đường 18,5m</t>
        </is>
      </c>
      <c r="E86" s="6" t="n"/>
      <c r="F86" s="7" t="n">
        <v>130</v>
      </c>
      <c r="G86" s="8" t="n">
        <v>400.2</v>
      </c>
      <c r="H86" s="9" t="n">
        <v>34700000</v>
      </c>
      <c r="I86" s="9">
        <f>ROUND(F86*H86,0)</f>
        <v/>
      </c>
      <c r="J86" s="9" t="n">
        <v>4342260</v>
      </c>
      <c r="K86" s="9">
        <f>ROUND(G86*J86,0)</f>
        <v/>
      </c>
      <c r="L86" s="9">
        <f>I86+K86</f>
        <v/>
      </c>
    </row>
    <row r="87">
      <c r="A87" s="6" t="n">
        <v>83</v>
      </c>
      <c r="B87" s="6" t="n"/>
      <c r="C87" s="6" t="inlineStr">
        <is>
          <t>LK32-5</t>
        </is>
      </c>
      <c r="D87" s="6" t="inlineStr">
        <is>
          <t>Đường 18,5m</t>
        </is>
      </c>
      <c r="E87" s="6" t="n"/>
      <c r="F87" s="7" t="n">
        <v>130</v>
      </c>
      <c r="G87" s="8" t="n">
        <v>400.2</v>
      </c>
      <c r="H87" s="9" t="n">
        <v>34700000</v>
      </c>
      <c r="I87" s="9">
        <f>ROUND(F87*H87,0)</f>
        <v/>
      </c>
      <c r="J87" s="9" t="n">
        <v>4342260</v>
      </c>
      <c r="K87" s="9">
        <f>ROUND(G87*J87,0)</f>
        <v/>
      </c>
      <c r="L87" s="9">
        <f>I87+K87</f>
        <v/>
      </c>
    </row>
    <row r="88">
      <c r="A88" s="6" t="n">
        <v>84</v>
      </c>
      <c r="B88" s="6" t="n"/>
      <c r="C88" s="6" t="inlineStr">
        <is>
          <t>LK32-6</t>
        </is>
      </c>
      <c r="D88" s="6" t="inlineStr">
        <is>
          <t>Đường 18,5m</t>
        </is>
      </c>
      <c r="E88" s="6" t="n"/>
      <c r="F88" s="7" t="n">
        <v>130</v>
      </c>
      <c r="G88" s="8" t="n">
        <v>400.2</v>
      </c>
      <c r="H88" s="9" t="n">
        <v>34700000</v>
      </c>
      <c r="I88" s="9">
        <f>ROUND(F88*H88,0)</f>
        <v/>
      </c>
      <c r="J88" s="9" t="n">
        <v>4342260</v>
      </c>
      <c r="K88" s="9">
        <f>ROUND(G88*J88,0)</f>
        <v/>
      </c>
      <c r="L88" s="9">
        <f>I88+K88</f>
        <v/>
      </c>
    </row>
    <row r="89">
      <c r="A89" s="6" t="n">
        <v>85</v>
      </c>
      <c r="B89" s="6" t="n"/>
      <c r="C89" s="6" t="inlineStr">
        <is>
          <t>LK32-7</t>
        </is>
      </c>
      <c r="D89" s="6" t="inlineStr">
        <is>
          <t>Đường 18,5m</t>
        </is>
      </c>
      <c r="E89" s="6" t="n"/>
      <c r="F89" s="7" t="n">
        <v>130</v>
      </c>
      <c r="G89" s="8" t="n">
        <v>400.2</v>
      </c>
      <c r="H89" s="9" t="n">
        <v>34700000</v>
      </c>
      <c r="I89" s="9">
        <f>ROUND(F89*H89,0)</f>
        <v/>
      </c>
      <c r="J89" s="9" t="n">
        <v>4342260</v>
      </c>
      <c r="K89" s="9">
        <f>ROUND(G89*J89,0)</f>
        <v/>
      </c>
      <c r="L89" s="9">
        <f>I89+K89</f>
        <v/>
      </c>
    </row>
    <row r="90">
      <c r="A90" s="6" t="n">
        <v>86</v>
      </c>
      <c r="B90" s="6" t="n"/>
      <c r="C90" s="6" t="inlineStr">
        <is>
          <t>LK32-8</t>
        </is>
      </c>
      <c r="D90" s="6" t="inlineStr">
        <is>
          <t>Đường 18,5m - Đường 12m</t>
        </is>
      </c>
      <c r="E90" s="6" t="inlineStr">
        <is>
          <t>Hố ga</t>
        </is>
      </c>
      <c r="F90" s="7" t="n">
        <v>161</v>
      </c>
      <c r="G90" s="8" t="n">
        <v>436.4</v>
      </c>
      <c r="H90" s="9" t="n">
        <v>36782000</v>
      </c>
      <c r="I90" s="9">
        <f>ROUND(F90*H90,0)</f>
        <v/>
      </c>
      <c r="J90" s="9" t="n">
        <v>4342260</v>
      </c>
      <c r="K90" s="9">
        <f>ROUND(G90*J90,0)</f>
        <v/>
      </c>
      <c r="L90" s="9">
        <f>I90+K90</f>
        <v/>
      </c>
    </row>
    <row r="91">
      <c r="A91" s="6" t="n">
        <v>87</v>
      </c>
      <c r="B91" s="6" t="inlineStr">
        <is>
          <t>LK33</t>
        </is>
      </c>
      <c r="C91" s="6" t="inlineStr">
        <is>
          <t>LK33-1</t>
        </is>
      </c>
      <c r="D91" s="6" t="inlineStr">
        <is>
          <t>Đường 11,5m - Đường 6m</t>
        </is>
      </c>
      <c r="E91" s="6" t="n"/>
      <c r="F91" s="7" t="n">
        <v>129</v>
      </c>
      <c r="G91" s="8" t="n">
        <v>409.8</v>
      </c>
      <c r="H91" s="9" t="n">
        <v>38232000</v>
      </c>
      <c r="I91" s="9">
        <f>ROUND(F91*H91,0)</f>
        <v/>
      </c>
      <c r="J91" s="9" t="n">
        <v>4342260</v>
      </c>
      <c r="K91" s="9">
        <f>ROUND(G91*J91,0)</f>
        <v/>
      </c>
      <c r="L91" s="9">
        <f>I91+K91</f>
        <v/>
      </c>
    </row>
    <row r="92">
      <c r="A92" s="6" t="n">
        <v>88</v>
      </c>
      <c r="B92" s="6" t="n"/>
      <c r="C92" s="6" t="inlineStr">
        <is>
          <t>LK33-2</t>
        </is>
      </c>
      <c r="D92" s="6" t="inlineStr">
        <is>
          <t>Đường 11,5m</t>
        </is>
      </c>
      <c r="E92" s="6" t="inlineStr">
        <is>
          <t>Đường đâm</t>
        </is>
      </c>
      <c r="F92" s="7" t="n">
        <v>130</v>
      </c>
      <c r="G92" s="8" t="n">
        <v>400.2</v>
      </c>
      <c r="H92" s="9" t="n">
        <v>31860000</v>
      </c>
      <c r="I92" s="9">
        <f>ROUND(F92*H92,0)</f>
        <v/>
      </c>
      <c r="J92" s="9" t="n">
        <v>4342260</v>
      </c>
      <c r="K92" s="9">
        <f>ROUND(G92*J92,0)</f>
        <v/>
      </c>
      <c r="L92" s="9">
        <f>I92+K92</f>
        <v/>
      </c>
    </row>
    <row r="93">
      <c r="A93" s="6" t="n">
        <v>89</v>
      </c>
      <c r="B93" s="6" t="n"/>
      <c r="C93" s="6" t="inlineStr">
        <is>
          <t>LK33-3</t>
        </is>
      </c>
      <c r="D93" s="6" t="inlineStr">
        <is>
          <t>Đường 11,5m</t>
        </is>
      </c>
      <c r="E93" s="6" t="inlineStr">
        <is>
          <t>Đường đâm; Hố ga</t>
        </is>
      </c>
      <c r="F93" s="7" t="n">
        <v>130</v>
      </c>
      <c r="G93" s="8" t="n">
        <v>400.2</v>
      </c>
      <c r="H93" s="9" t="n">
        <v>31506000</v>
      </c>
      <c r="I93" s="9">
        <f>ROUND(F93*H93,0)</f>
        <v/>
      </c>
      <c r="J93" s="9" t="n">
        <v>4342260</v>
      </c>
      <c r="K93" s="9">
        <f>ROUND(G93*J93,0)</f>
        <v/>
      </c>
      <c r="L93" s="9">
        <f>I93+K93</f>
        <v/>
      </c>
    </row>
    <row r="94">
      <c r="A94" s="6" t="n">
        <v>90</v>
      </c>
      <c r="B94" s="6" t="n"/>
      <c r="C94" s="6" t="inlineStr">
        <is>
          <t>LK33-4</t>
        </is>
      </c>
      <c r="D94" s="6" t="inlineStr">
        <is>
          <t>Đường 11,5m</t>
        </is>
      </c>
      <c r="E94" s="6" t="n"/>
      <c r="F94" s="7" t="n">
        <v>130</v>
      </c>
      <c r="G94" s="8" t="n">
        <v>400.2</v>
      </c>
      <c r="H94" s="9" t="n">
        <v>35400000</v>
      </c>
      <c r="I94" s="9">
        <f>ROUND(F94*H94,0)</f>
        <v/>
      </c>
      <c r="J94" s="9" t="n">
        <v>4342260</v>
      </c>
      <c r="K94" s="9">
        <f>ROUND(G94*J94,0)</f>
        <v/>
      </c>
      <c r="L94" s="9">
        <f>I94+K94</f>
        <v/>
      </c>
    </row>
    <row r="95">
      <c r="A95" s="6" t="n">
        <v>91</v>
      </c>
      <c r="B95" s="6" t="n"/>
      <c r="C95" s="6" t="inlineStr">
        <is>
          <t>LK33-5</t>
        </is>
      </c>
      <c r="D95" s="6" t="inlineStr">
        <is>
          <t>Đường 11,5m</t>
        </is>
      </c>
      <c r="E95" s="6" t="n"/>
      <c r="F95" s="7" t="n">
        <v>130</v>
      </c>
      <c r="G95" s="8" t="n">
        <v>400.2</v>
      </c>
      <c r="H95" s="9" t="n">
        <v>35400000</v>
      </c>
      <c r="I95" s="9">
        <f>ROUND(F95*H95,0)</f>
        <v/>
      </c>
      <c r="J95" s="9" t="n">
        <v>4342260</v>
      </c>
      <c r="K95" s="9">
        <f>ROUND(G95*J95,0)</f>
        <v/>
      </c>
      <c r="L95" s="9">
        <f>I95+K95</f>
        <v/>
      </c>
    </row>
    <row r="96">
      <c r="A96" s="6" t="n">
        <v>92</v>
      </c>
      <c r="B96" s="6" t="n"/>
      <c r="C96" s="6" t="inlineStr">
        <is>
          <t>LK33-6</t>
        </is>
      </c>
      <c r="D96" s="6" t="inlineStr">
        <is>
          <t>Đường 11,5m</t>
        </is>
      </c>
      <c r="E96" s="6" t="inlineStr">
        <is>
          <t>Hố ga</t>
        </is>
      </c>
      <c r="F96" s="7" t="n">
        <v>130</v>
      </c>
      <c r="G96" s="8" t="n">
        <v>400.2</v>
      </c>
      <c r="H96" s="9" t="n">
        <v>35046000</v>
      </c>
      <c r="I96" s="9">
        <f>ROUND(F96*H96,0)</f>
        <v/>
      </c>
      <c r="J96" s="9" t="n">
        <v>4342260</v>
      </c>
      <c r="K96" s="9">
        <f>ROUND(G96*J96,0)</f>
        <v/>
      </c>
      <c r="L96" s="9">
        <f>I96+K96</f>
        <v/>
      </c>
    </row>
    <row r="97">
      <c r="A97" s="6" t="n">
        <v>93</v>
      </c>
      <c r="B97" s="6" t="n"/>
      <c r="C97" s="6" t="inlineStr">
        <is>
          <t>LK33-7</t>
        </is>
      </c>
      <c r="D97" s="6" t="inlineStr">
        <is>
          <t>Đường 11,5m</t>
        </is>
      </c>
      <c r="E97" s="6" t="n"/>
      <c r="F97" s="7" t="n">
        <v>130</v>
      </c>
      <c r="G97" s="8" t="n">
        <v>400.2</v>
      </c>
      <c r="H97" s="9" t="n">
        <v>35400000</v>
      </c>
      <c r="I97" s="9">
        <f>ROUND(F97*H97,0)</f>
        <v/>
      </c>
      <c r="J97" s="9" t="n">
        <v>4342260</v>
      </c>
      <c r="K97" s="9">
        <f>ROUND(G97*J97,0)</f>
        <v/>
      </c>
      <c r="L97" s="9">
        <f>I97+K97</f>
        <v/>
      </c>
    </row>
    <row r="98">
      <c r="A98" s="6" t="n">
        <v>94</v>
      </c>
      <c r="B98" s="6" t="n"/>
      <c r="C98" s="6" t="inlineStr">
        <is>
          <t>LK33-8</t>
        </is>
      </c>
      <c r="D98" s="6" t="inlineStr">
        <is>
          <t>Đường 11,5m - Đường 12m</t>
        </is>
      </c>
      <c r="E98" s="6" t="inlineStr">
        <is>
          <t>Tủ điện; Hố ga</t>
        </is>
      </c>
      <c r="F98" s="7" t="n">
        <v>157</v>
      </c>
      <c r="G98" s="8" t="n">
        <v>436.4</v>
      </c>
      <c r="H98" s="9" t="n">
        <v>35754000</v>
      </c>
      <c r="I98" s="9">
        <f>ROUND(F98*H98,0)</f>
        <v/>
      </c>
      <c r="J98" s="9" t="n">
        <v>4342260</v>
      </c>
      <c r="K98" s="9">
        <f>ROUND(G98*J98,0)</f>
        <v/>
      </c>
      <c r="L98" s="9">
        <f>I98+K98</f>
        <v/>
      </c>
    </row>
    <row r="99">
      <c r="A99" s="2" t="inlineStr">
        <is>
          <t>Tổng cộng</t>
        </is>
      </c>
      <c r="B99" s="2" t="n"/>
      <c r="C99" s="2" t="n"/>
      <c r="D99" s="2" t="n"/>
      <c r="E99" s="2" t="n"/>
      <c r="F99" s="3">
        <f>SUM(F2:F98)</f>
        <v/>
      </c>
      <c r="G99" s="4">
        <f>G2+G23+G54</f>
        <v/>
      </c>
      <c r="H99" s="5" t="n"/>
      <c r="I99" s="5">
        <f>I2+I23+I54</f>
        <v/>
      </c>
      <c r="J99" s="5" t="n"/>
      <c r="K99" s="5">
        <f>K2+K23+K54</f>
        <v/>
      </c>
      <c r="L99" s="5">
        <f>L2+L23+L54</f>
        <v/>
      </c>
    </row>
    <row r="100">
      <c r="A100" s="2" t="inlineStr">
        <is>
          <t>Làm tròn</t>
        </is>
      </c>
      <c r="B100" s="2" t="n"/>
      <c r="C100" s="2" t="n"/>
      <c r="D100" s="2" t="n"/>
      <c r="E100" s="2" t="n"/>
      <c r="F100" s="3" t="n"/>
      <c r="G100" s="4" t="n"/>
      <c r="H100" s="5" t="n"/>
      <c r="I100" s="5" t="n"/>
      <c r="J100" s="5" t="n"/>
      <c r="K100" s="5" t="n"/>
      <c r="L100" s="5">
        <f>ROUND(L99,-6)</f>
        <v/>
      </c>
    </row>
  </sheetData>
  <autoFilter ref="A1:L98"/>
  <mergeCells count="20">
    <mergeCell ref="A99:C99"/>
    <mergeCell ref="B24:B35"/>
    <mergeCell ref="B91:B98"/>
    <mergeCell ref="A2:C2"/>
    <mergeCell ref="B42:B45"/>
    <mergeCell ref="B75:B82"/>
    <mergeCell ref="B67:B74"/>
    <mergeCell ref="B3:B8"/>
    <mergeCell ref="A23:C23"/>
    <mergeCell ref="B61:B66"/>
    <mergeCell ref="A100:C100"/>
    <mergeCell ref="B46:B53"/>
    <mergeCell ref="B1:C1"/>
    <mergeCell ref="B19:B22"/>
    <mergeCell ref="B15:B18"/>
    <mergeCell ref="B9:B14"/>
    <mergeCell ref="B36:B41"/>
    <mergeCell ref="B83:B90"/>
    <mergeCell ref="B55:B60"/>
    <mergeCell ref="A54:C5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2026-10-16T05:12:41Z</dcterms:created>
  <dcterms:modified xmlns:dcterms="http://purl.org/dc/terms/" xmlns:xsi="http://www.w3.org/2001/XMLSchema-instance" xsi:type="dcterms:W3CDTF">2026-10-16T05:12:41Z</dcterms:modified>
</cp:coreProperties>
</file>